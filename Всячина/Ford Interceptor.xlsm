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Лист1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<sst xmlns="http://schemas.openxmlformats.org/spreadsheetml/2006/main" count="66" uniqueCount="58">
  <si>
    <t xml:space="preserve">Форд Интерсептор</t>
  </si>
  <si>
    <t xml:space="preserve">Статы:</t>
  </si>
  <si>
    <t xml:space="preserve">Управление</t>
  </si>
  <si>
    <t xml:space="preserve">Ускорение</t>
  </si>
  <si>
    <t xml:space="preserve">Интервал</t>
  </si>
  <si>
    <t xml:space="preserve">Скорость</t>
  </si>
  <si>
    <t xml:space="preserve">Тело</t>
  </si>
  <si>
    <t xml:space="preserve">Броня</t>
  </si>
  <si>
    <t xml:space="preserve">Пилотинг</t>
  </si>
  <si>
    <t xml:space="preserve">Сенса</t>
  </si>
  <si>
    <t xml:space="preserve">сидения</t>
  </si>
  <si>
    <t xml:space="preserve">Авайл</t>
  </si>
  <si>
    <t xml:space="preserve">Цена</t>
  </si>
  <si>
    <t xml:space="preserve">без модов</t>
  </si>
  <si>
    <t xml:space="preserve">2/3</t>
  </si>
  <si>
    <t xml:space="preserve">32к</t>
  </si>
  <si>
    <t xml:space="preserve">с модами</t>
  </si>
  <si>
    <t xml:space="preserve">16 (2 куба тела)</t>
  </si>
  <si>
    <t xml:space="preserve">Очки апгрейдов</t>
  </si>
  <si>
    <t xml:space="preserve">Тяга</t>
  </si>
  <si>
    <t xml:space="preserve">Шасси</t>
  </si>
  <si>
    <t xml:space="preserve">Электроника</t>
  </si>
  <si>
    <t xml:space="preserve">Родные апгрейды</t>
  </si>
  <si>
    <t xml:space="preserve">Апгрейд</t>
  </si>
  <si>
    <t xml:space="preserve">Что делает</t>
  </si>
  <si>
    <t xml:space="preserve">Очки Апгрейда</t>
  </si>
  <si>
    <t xml:space="preserve">Стандартный хардпойнт</t>
  </si>
  <si>
    <t xml:space="preserve">1 шасси</t>
  </si>
  <si>
    <t xml:space="preserve">Таран</t>
  </si>
  <si>
    <t xml:space="preserve">DV 4P 8/-/-/-/-/-</t>
  </si>
  <si>
    <t xml:space="preserve">Кастомные апгрейды</t>
  </si>
  <si>
    <t xml:space="preserve">Спуф Кит</t>
  </si>
  <si>
    <t xml:space="preserve">За минорное действие поменять Айди и номера</t>
  </si>
  <si>
    <t xml:space="preserve">- [1]</t>
  </si>
  <si>
    <t xml:space="preserve">РПУ</t>
  </si>
  <si>
    <t xml:space="preserve">Подключение по проводу напрямую</t>
  </si>
  <si>
    <t xml:space="preserve">1 электро</t>
  </si>
  <si>
    <t xml:space="preserve">Дистинктив фичюр</t>
  </si>
  <si>
    <t xml:space="preserve">Особенность внешнего вида авто, бонус к харизме если в ней (кастомный вертикальный выхлоп)</t>
  </si>
  <si>
    <t xml:space="preserve">Электрохром</t>
  </si>
  <si>
    <t xml:space="preserve">Меняет цвет</t>
  </si>
  <si>
    <t xml:space="preserve">Гоночная подвеска</t>
  </si>
  <si>
    <t xml:space="preserve">Ограничивает штрафные кубы до управляемости машины</t>
  </si>
  <si>
    <t xml:space="preserve">3 тяги</t>
  </si>
  <si>
    <t xml:space="preserve">Нитра</t>
  </si>
  <si>
    <t xml:space="preserve">удваивает ускорение на 1д6 раундов, одна кость в тестах конвертится в дикую</t>
  </si>
  <si>
    <t xml:space="preserve">2 тяги</t>
  </si>
  <si>
    <t xml:space="preserve">Увеличение скорости 3</t>
  </si>
  <si>
    <t xml:space="preserve">60 процентов к максималке</t>
  </si>
  <si>
    <t xml:space="preserve">Увеличение ускорения 2</t>
  </si>
  <si>
    <t xml:space="preserve">увеличивает ускор на 60 проц</t>
  </si>
  <si>
    <t xml:space="preserve">обычная броня</t>
  </si>
  <si>
    <t xml:space="preserve">- [8]</t>
  </si>
  <si>
    <t xml:space="preserve">керамика</t>
  </si>
  <si>
    <t xml:space="preserve">+2 куба тела</t>
  </si>
  <si>
    <t xml:space="preserve">2 шасси</t>
  </si>
  <si>
    <t xml:space="preserve">Стоимость апгрейдов:</t>
  </si>
  <si>
    <t xml:space="preserve">1 месяц — 45 модслотов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</si>
</sst>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FFFF00"/>
        <bgColor rgb="FFFFFF0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3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32"/>
  <sheetViews>
    <sheetView showFormulas="false" showGridLines="true" showRowColHeaders="true" showZeros="true" rightToLeft="false" tabSelected="true" showOutlineSymbols="true" defaultGridColor="true" view="normal" topLeftCell="A4" colorId="64" zoomScale="200" zoomScaleNormal="200" zoomScalePageLayoutView="100" workbookViewId="0">
      <selection pane="topLeft" activeCell="E12" activeCellId="0" sqref="E12"/>
    </sheetView>
  </sheetViews>
  <sheetFormatPr defaultColWidth="11.53515625" defaultRowHeight="12.8" zeroHeight="false" outlineLevelRow="0" outlineLevelCol="0"/>
  <cols>
    <col collapsed="false" customWidth="true" hidden="false" outlineLevel="0" max="2" min="2" style="1" width="12.7"/>
    <col collapsed="false" customWidth="true" hidden="false" outlineLevel="0" max="5" min="5" style="1" width="14.48"/>
  </cols>
  <sheetData>
    <row r="1" customFormat="false" ht="12.8" hidden="false" customHeight="false" outlineLevel="0" collapsed="false">
      <c r="B1" s="1" t="s">
        <v>0</v>
      </c>
    </row>
    <row r="3" customFormat="false" ht="12.8" hidden="false" customHeight="false" outlineLevel="0" collapsed="false">
      <c r="A3" s="1" t="s">
        <v>1</v>
      </c>
    </row>
    <row r="4" customFormat="false" ht="12.8" hidden="false" customHeight="false" outlineLevel="0" collapsed="false">
      <c r="A4" s="2"/>
      <c r="B4" s="2" t="s">
        <v>2</v>
      </c>
      <c r="C4" s="2" t="s">
        <v>3</v>
      </c>
      <c r="D4" s="2" t="s">
        <v>4</v>
      </c>
      <c r="E4" s="2" t="s">
        <v>5</v>
      </c>
      <c r="F4" s="2" t="s">
        <v>6</v>
      </c>
      <c r="G4" s="2" t="s">
        <v>7</v>
      </c>
      <c r="H4" s="2" t="s">
        <v>8</v>
      </c>
      <c r="I4" s="2" t="s">
        <v>9</v>
      </c>
      <c r="J4" s="2" t="s">
        <v>10</v>
      </c>
      <c r="K4" s="2" t="s">
        <v>11</v>
      </c>
      <c r="L4" s="2" t="s">
        <v>12</v>
      </c>
    </row>
    <row r="5" customFormat="false" ht="12.8" hidden="false" customHeight="false" outlineLevel="0" collapsed="false">
      <c r="A5" s="2" t="s">
        <v>13</v>
      </c>
      <c r="B5" s="2" t="s">
        <v>14</v>
      </c>
      <c r="C5" s="2" t="n">
        <v>24</v>
      </c>
      <c r="D5" s="2" t="n">
        <v>28</v>
      </c>
      <c r="E5" s="2" t="n">
        <v>240</v>
      </c>
      <c r="F5" s="2" t="n">
        <v>12</v>
      </c>
      <c r="G5" s="2" t="n">
        <v>8</v>
      </c>
      <c r="H5" s="2" t="n">
        <v>3</v>
      </c>
      <c r="I5" s="2" t="n">
        <v>4</v>
      </c>
      <c r="J5" s="2" t="n">
        <v>4</v>
      </c>
      <c r="K5" s="2" t="n">
        <v>4</v>
      </c>
      <c r="L5" s="2" t="s">
        <v>15</v>
      </c>
    </row>
    <row r="6" customFormat="false" ht="12.8" hidden="false" customHeight="false" outlineLevel="0" collapsed="false">
      <c r="A6" s="2" t="s">
        <v>16</v>
      </c>
      <c r="B6" s="2"/>
      <c r="C6" s="2" t="n">
        <v>31</v>
      </c>
      <c r="D6" s="2"/>
      <c r="E6" s="2" t="n">
        <v>304</v>
      </c>
      <c r="F6" s="2"/>
      <c r="G6" s="2" t="s">
        <v>17</v>
      </c>
      <c r="H6" s="2"/>
      <c r="I6" s="2"/>
      <c r="J6" s="2"/>
      <c r="K6" s="2"/>
      <c r="L6" s="2"/>
    </row>
    <row r="8" customFormat="false" ht="12.8" hidden="false" customHeight="false" outlineLevel="0" collapsed="false">
      <c r="A8" s="1" t="s">
        <v>18</v>
      </c>
    </row>
    <row r="9" customFormat="false" ht="12.8" hidden="false" customHeight="false" outlineLevel="0" collapsed="false">
      <c r="A9" s="2" t="s">
        <v>19</v>
      </c>
      <c r="B9" s="2" t="s">
        <v>20</v>
      </c>
      <c r="C9" s="2" t="s">
        <v>21</v>
      </c>
    </row>
    <row r="10" customFormat="false" ht="12.8" hidden="false" customHeight="false" outlineLevel="0" collapsed="false">
      <c r="A10" s="2" t="n">
        <v>12</v>
      </c>
      <c r="B10" s="2" t="n">
        <v>12</v>
      </c>
      <c r="C10" s="2" t="n">
        <v>12</v>
      </c>
    </row>
    <row r="11" customFormat="false" ht="12.8" hidden="false" customHeight="false" outlineLevel="0" collapsed="false">
      <c r="A11" s="2" t="n">
        <f aca="false">-2-3-3-2</f>
        <v>-10</v>
      </c>
      <c r="B11" s="2" t="n">
        <f aca="false">-1-2</f>
        <v>-3</v>
      </c>
      <c r="C11" s="2" t="n">
        <v>-2</v>
      </c>
    </row>
    <row r="13" customFormat="false" ht="12.8" hidden="false" customHeight="false" outlineLevel="0" collapsed="false">
      <c r="A13" s="1" t="s">
        <v>22</v>
      </c>
    </row>
    <row r="14" customFormat="false" ht="12.8" hidden="false" customHeight="false" outlineLevel="0" collapsed="false">
      <c r="A14" s="2" t="s">
        <v>23</v>
      </c>
      <c r="B14" s="2" t="s">
        <v>24</v>
      </c>
      <c r="C14" s="2" t="s">
        <v>25</v>
      </c>
    </row>
    <row r="15" customFormat="false" ht="23.7" hidden="false" customHeight="false" outlineLevel="0" collapsed="false">
      <c r="A15" s="3" t="s">
        <v>26</v>
      </c>
      <c r="B15" s="2"/>
      <c r="C15" s="2" t="s">
        <v>27</v>
      </c>
    </row>
    <row r="16" customFormat="false" ht="12.8" hidden="false" customHeight="false" outlineLevel="0" collapsed="false">
      <c r="A16" s="2" t="s">
        <v>28</v>
      </c>
      <c r="B16" s="2" t="s">
        <v>29</v>
      </c>
      <c r="C16" s="2"/>
    </row>
    <row r="18" customFormat="false" ht="12.8" hidden="false" customHeight="false" outlineLevel="0" collapsed="false">
      <c r="A18" s="1" t="s">
        <v>30</v>
      </c>
    </row>
    <row r="19" customFormat="false" ht="12.8" hidden="false" customHeight="false" outlineLevel="0" collapsed="false">
      <c r="A19" s="2" t="s">
        <v>23</v>
      </c>
      <c r="B19" s="2"/>
      <c r="C19" s="2" t="s">
        <v>24</v>
      </c>
      <c r="D19" s="2"/>
      <c r="E19" s="2" t="s">
        <v>25</v>
      </c>
      <c r="F19" s="2" t="s">
        <v>12</v>
      </c>
    </row>
    <row r="20" customFormat="false" ht="23.7" hidden="false" customHeight="true" outlineLevel="0" collapsed="false">
      <c r="A20" s="2" t="s">
        <v>31</v>
      </c>
      <c r="B20" s="2"/>
      <c r="C20" s="4" t="s">
        <v>32</v>
      </c>
      <c r="D20" s="4"/>
      <c r="E20" s="2" t="s">
        <v>33</v>
      </c>
      <c r="F20" s="2" t="n">
        <v>1500</v>
      </c>
    </row>
    <row r="21" customFormat="false" ht="23.7" hidden="false" customHeight="true" outlineLevel="0" collapsed="false">
      <c r="A21" s="2" t="s">
        <v>34</v>
      </c>
      <c r="B21" s="2"/>
      <c r="C21" s="4" t="s">
        <v>35</v>
      </c>
      <c r="D21" s="4"/>
      <c r="E21" s="2" t="s">
        <v>36</v>
      </c>
      <c r="F21" s="2" t="n">
        <v>1500</v>
      </c>
    </row>
    <row r="22" customFormat="false" ht="57.45" hidden="false" customHeight="true" outlineLevel="0" collapsed="false">
      <c r="A22" s="2" t="s">
        <v>37</v>
      </c>
      <c r="B22" s="2"/>
      <c r="C22" s="4" t="s">
        <v>38</v>
      </c>
      <c r="D22" s="4"/>
      <c r="E22" s="2" t="s">
        <v>33</v>
      </c>
      <c r="F22" s="2" t="n">
        <v>4000</v>
      </c>
    </row>
    <row r="23" customFormat="false" ht="12.8" hidden="false" customHeight="true" outlineLevel="0" collapsed="false">
      <c r="A23" s="5" t="s">
        <v>39</v>
      </c>
      <c r="B23" s="5"/>
      <c r="C23" s="6" t="s">
        <v>40</v>
      </c>
      <c r="D23" s="6"/>
      <c r="E23" s="5" t="s">
        <v>36</v>
      </c>
      <c r="F23" s="5" t="n">
        <v>8500</v>
      </c>
    </row>
    <row r="24" customFormat="false" ht="34.9" hidden="false" customHeight="true" outlineLevel="0" collapsed="false">
      <c r="A24" s="7" t="s">
        <v>41</v>
      </c>
      <c r="B24" s="7"/>
      <c r="C24" s="8" t="s">
        <v>42</v>
      </c>
      <c r="D24" s="8"/>
      <c r="E24" s="7" t="s">
        <v>43</v>
      </c>
      <c r="F24" s="7" t="n">
        <v>20000</v>
      </c>
    </row>
    <row r="25" customFormat="false" ht="46.1" hidden="false" customHeight="true" outlineLevel="0" collapsed="false">
      <c r="A25" s="7" t="s">
        <v>44</v>
      </c>
      <c r="B25" s="7"/>
      <c r="C25" s="8" t="s">
        <v>45</v>
      </c>
      <c r="D25" s="8"/>
      <c r="E25" s="7" t="s">
        <v>46</v>
      </c>
      <c r="F25" s="7" t="n">
        <v>5000</v>
      </c>
    </row>
    <row r="26" customFormat="false" ht="23.7" hidden="false" customHeight="true" outlineLevel="0" collapsed="false">
      <c r="A26" s="7" t="s">
        <v>47</v>
      </c>
      <c r="B26" s="7"/>
      <c r="C26" s="8" t="s">
        <v>48</v>
      </c>
      <c r="D26" s="8"/>
      <c r="E26" s="7" t="s">
        <v>43</v>
      </c>
      <c r="F26" s="7" t="n">
        <f aca="false">8000*3</f>
        <v>24000</v>
      </c>
    </row>
    <row r="27" customFormat="false" ht="23.7" hidden="false" customHeight="true" outlineLevel="0" collapsed="false">
      <c r="A27" s="7" t="s">
        <v>49</v>
      </c>
      <c r="B27" s="7"/>
      <c r="C27" s="8" t="s">
        <v>50</v>
      </c>
      <c r="D27" s="8"/>
      <c r="E27" s="7" t="s">
        <v>46</v>
      </c>
      <c r="F27" s="7" t="n">
        <f aca="false">2*15000</f>
        <v>30000</v>
      </c>
    </row>
    <row r="28" customFormat="false" ht="12.8" hidden="false" customHeight="false" outlineLevel="0" collapsed="false">
      <c r="A28" s="7" t="s">
        <v>51</v>
      </c>
      <c r="B28" s="7"/>
      <c r="C28" s="8"/>
      <c r="D28" s="8"/>
      <c r="E28" s="7" t="s">
        <v>52</v>
      </c>
      <c r="F28" s="7" t="n">
        <v>6400</v>
      </c>
    </row>
    <row r="29" customFormat="false" ht="12.8" hidden="false" customHeight="true" outlineLevel="0" collapsed="false">
      <c r="A29" s="7" t="s">
        <v>53</v>
      </c>
      <c r="B29" s="7"/>
      <c r="C29" s="8" t="s">
        <v>54</v>
      </c>
      <c r="D29" s="8"/>
      <c r="E29" s="7" t="s">
        <v>55</v>
      </c>
      <c r="F29" s="7" t="n">
        <v>12000</v>
      </c>
    </row>
    <row r="32" customFormat="false" ht="12.8" hidden="false" customHeight="false" outlineLevel="0" collapsed="false">
      <c r="B32" s="1" t="s">
        <v>56</v>
      </c>
      <c r="D32" s="1" t="n">
        <f aca="false">SUM(F24:F29 )</f>
        <v>97400</v>
      </c>
      <c r="F32" s="1" t="s">
        <v>57</v>
      </c>
    </row>
  </sheetData>
  <mergeCells count="10"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</mergeCells>
  <printOptions headings="false" gridLines="false" gridLinesSet="true" horizontalCentered="false" verticalCentered="false"/>
  <pageMargins left="0.7875" right="0.7875" top="1.025" bottom="1.025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&amp;C&amp;A</oddHeader>
    <oddFooter>&amp;CСтраница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404</TotalTime>
  <Application>LibreOffice/7.6.4.1$Windows_X86_64 LibreOffice_project/e19e193f88cd6c0525a17fb7a176ed8e6a3e2aa1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2026-05-23T17:27:03Z</dcterms:created>
  <dc:creator/>
  <dc:description/>
  <dc:language>ru-RU</dc:language>
  <cp:lastModifiedBy/>
  <dcterms:modified xsi:type="dcterms:W3CDTF">2026-05-24T00:21:56Z</dcterms:modified>
  <cp:revision>40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