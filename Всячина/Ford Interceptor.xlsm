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<sst xmlns="http://schemas.openxmlformats.org/spreadsheetml/2006/main" count="93" uniqueCount="76">
  <si>
    <t xml:space="preserve">Форд Интерсептор</t>
  </si>
  <si>
    <t xml:space="preserve">Статы:</t>
  </si>
  <si>
    <t xml:space="preserve">Управление</t>
  </si>
  <si>
    <t xml:space="preserve">Ускорение</t>
  </si>
  <si>
    <t xml:space="preserve">Интервал</t>
  </si>
  <si>
    <t xml:space="preserve">Скорость</t>
  </si>
  <si>
    <t xml:space="preserve">Тело</t>
  </si>
  <si>
    <t xml:space="preserve">Броня</t>
  </si>
  <si>
    <t xml:space="preserve">Пилотинг</t>
  </si>
  <si>
    <t xml:space="preserve">Сенса</t>
  </si>
  <si>
    <t xml:space="preserve">сидения</t>
  </si>
  <si>
    <t xml:space="preserve">Авайл</t>
  </si>
  <si>
    <t xml:space="preserve">Цена</t>
  </si>
  <si>
    <t xml:space="preserve">без модов</t>
  </si>
  <si>
    <t xml:space="preserve">2/3</t>
  </si>
  <si>
    <t xml:space="preserve">32к</t>
  </si>
  <si>
    <t xml:space="preserve">с модами</t>
  </si>
  <si>
    <t xml:space="preserve">16 (2 куба тела)</t>
  </si>
  <si>
    <t xml:space="preserve">Очки апгрейдов</t>
  </si>
  <si>
    <t xml:space="preserve">Тяга</t>
  </si>
  <si>
    <t xml:space="preserve">Шасси</t>
  </si>
  <si>
    <t xml:space="preserve">Электроника</t>
  </si>
  <si>
    <t xml:space="preserve">Родные апгрейды</t>
  </si>
  <si>
    <t xml:space="preserve">Апгрейд</t>
  </si>
  <si>
    <t xml:space="preserve">Что делает</t>
  </si>
  <si>
    <t xml:space="preserve">Очки Апгрейда</t>
  </si>
  <si>
    <t xml:space="preserve">Стандартный хардпойнт</t>
  </si>
  <si>
    <t xml:space="preserve">1 шасси</t>
  </si>
  <si>
    <t xml:space="preserve">Таран</t>
  </si>
  <si>
    <t xml:space="preserve">DV 4P 8/-/-/-/-/-</t>
  </si>
  <si>
    <t xml:space="preserve">Кастомные апгрейды</t>
  </si>
  <si>
    <t xml:space="preserve">Спуф Кит</t>
  </si>
  <si>
    <t xml:space="preserve">За минорное действие поменять Айди и номера</t>
  </si>
  <si>
    <t xml:space="preserve">- [1]</t>
  </si>
  <si>
    <t xml:space="preserve">Умные покрышки</t>
  </si>
  <si>
    <t xml:space="preserve">+5 к ускорению и +10 к скор интерв к нужному, -5 и -10 к ненужному, непрокалываемые, минорка на свап</t>
  </si>
  <si>
    <t xml:space="preserve">РПУ</t>
  </si>
  <si>
    <t xml:space="preserve">Подключение по проводу напрямую</t>
  </si>
  <si>
    <t xml:space="preserve">1 электро</t>
  </si>
  <si>
    <t xml:space="preserve">Дистинктив фичюр</t>
  </si>
  <si>
    <t xml:space="preserve">Особенность внешнего вида авто, бонус к харизме если в ней (кастомный вертикальный выхлоп)</t>
  </si>
  <si>
    <t xml:space="preserve">PPS 6Р</t>
  </si>
  <si>
    <t xml:space="preserve">6 тела к тесту при аварии</t>
  </si>
  <si>
    <t xml:space="preserve">3 электро</t>
  </si>
  <si>
    <t xml:space="preserve">Электрохром</t>
  </si>
  <si>
    <t xml:space="preserve">Меняет цвет</t>
  </si>
  <si>
    <t xml:space="preserve">Кассетный плеер от харона</t>
  </si>
  <si>
    <t xml:space="preserve">Гоночная подвеска</t>
  </si>
  <si>
    <t xml:space="preserve">Ограничивает штрафные кубы до управляемости машины</t>
  </si>
  <si>
    <t xml:space="preserve">3 тяги</t>
  </si>
  <si>
    <t xml:space="preserve">3 стандартных хардпойнта в 1 огромную</t>
  </si>
  <si>
    <t xml:space="preserve">9 тела</t>
  </si>
  <si>
    <t xml:space="preserve">Нитра</t>
  </si>
  <si>
    <t xml:space="preserve">удваивает ускорение на 1д6 раундов, одна кость в тестах конвертится в дикую</t>
  </si>
  <si>
    <t xml:space="preserve">2 тяги</t>
  </si>
  <si>
    <t xml:space="preserve">Программы В РПУ</t>
  </si>
  <si>
    <t xml:space="preserve">Прицеливание 5
Управление 5
РЭБ 5</t>
  </si>
  <si>
    <t xml:space="preserve">Увеличение скорости 3</t>
  </si>
  <si>
    <t xml:space="preserve">60 процентов к максималке</t>
  </si>
  <si>
    <t xml:space="preserve">Тяж пулемёт
Ingram Black Knight</t>
  </si>
  <si>
    <t xml:space="preserve">Увеличение ускорения 2</t>
  </si>
  <si>
    <t xml:space="preserve">увеличивает ускор на 60 проц</t>
  </si>
  <si>
    <t xml:space="preserve">обычная броня</t>
  </si>
  <si>
    <t xml:space="preserve">- [8]</t>
  </si>
  <si>
    <t xml:space="preserve">керамика</t>
  </si>
  <si>
    <t xml:space="preserve">+2 куба тела</t>
  </si>
  <si>
    <t xml:space="preserve">2 шасси</t>
  </si>
  <si>
    <t xml:space="preserve">Умная повеска</t>
  </si>
  <si>
    <t xml:space="preserve">До 3 бонуса к профильному управлению</t>
  </si>
  <si>
    <t xml:space="preserve">Большая турель</t>
  </si>
  <si>
    <t xml:space="preserve">12,000¥ </t>
  </si>
  <si>
    <t xml:space="preserve">Поп аут</t>
  </si>
  <si>
    <t xml:space="preserve">3 электроники</t>
  </si>
  <si>
    <t xml:space="preserve">6,000¥ </t>
  </si>
  <si>
    <t xml:space="preserve">Стоимость апгрейдов:</t>
  </si>
  <si>
    <t xml:space="preserve">1 месяц — 45 модслотов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</si>
</sst>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806760</xdr:colOff>
      <xdr:row>25</xdr:row>
      <xdr:rowOff>11880</xdr:rowOff>
    </xdr:from>
    <xdr:to>
      <xdr:col>11</xdr:col>
      <xdr:colOff>695880</xdr:colOff>
      <xdr:row>28</xdr:row>
      <xdr:rowOff>102240</xdr:rowOff>
    </xdr:to>
    <xdr:pic>
      <xdr:nvPicPr>
        <xdr:cNvPr id="0" name="Изображение 1" descr=""/>
        <xdr:cNvPicPr/>
      </xdr:nvPicPr>
      <xdr:blipFill>
        <a:blip r:embed="rId1"/>
        <a:stretch/>
      </xdr:blipFill>
      <xdr:spPr>
        <a:xfrm>
          <a:off x="5973840" y="5691960"/>
          <a:ext cx="3953160" cy="85500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36"/>
  <sheetViews>
    <sheetView showFormulas="false" showGridLines="true" showRowColHeaders="true" showZeros="true" rightToLeft="false" tabSelected="true" showOutlineSymbols="true" defaultGridColor="true" view="pageBreakPreview" topLeftCell="A22" colorId="64" zoomScale="160" zoomScaleNormal="110" zoomScalePageLayoutView="160" workbookViewId="0">
      <selection pane="topLeft" activeCell="G32" activeCellId="0" sqref="G32"/>
    </sheetView>
  </sheetViews>
  <sheetFormatPr defaultColWidth="11.53515625" defaultRowHeight="12.8" zeroHeight="false" outlineLevelRow="0" outlineLevelCol="0"/>
  <cols>
    <col collapsed="false" customWidth="true" hidden="false" outlineLevel="0" max="2" min="2" style="1" width="12.7"/>
    <col collapsed="false" customWidth="true" hidden="false" outlineLevel="0" max="5" min="5" style="1" width="14.48"/>
  </cols>
  <sheetData>
    <row r="1" customFormat="false" ht="12.8" hidden="false" customHeight="false" outlineLevel="0" collapsed="false">
      <c r="B1" s="1" t="s">
        <v>0</v>
      </c>
    </row>
    <row r="3" customFormat="false" ht="12.8" hidden="false" customHeight="false" outlineLevel="0" collapsed="false">
      <c r="A3" s="1" t="s">
        <v>1</v>
      </c>
    </row>
    <row r="4" customFormat="false" ht="12.8" hidden="false" customHeight="false" outlineLevel="0" collapsed="false">
      <c r="A4" s="2"/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  <c r="H4" s="2" t="s">
        <v>8</v>
      </c>
      <c r="I4" s="2" t="s">
        <v>9</v>
      </c>
      <c r="J4" s="2" t="s">
        <v>10</v>
      </c>
      <c r="K4" s="2" t="s">
        <v>11</v>
      </c>
      <c r="L4" s="2" t="s">
        <v>12</v>
      </c>
    </row>
    <row r="5" customFormat="false" ht="12.8" hidden="false" customHeight="false" outlineLevel="0" collapsed="false">
      <c r="A5" s="2" t="s">
        <v>13</v>
      </c>
      <c r="B5" s="2" t="s">
        <v>14</v>
      </c>
      <c r="C5" s="2" t="n">
        <v>24</v>
      </c>
      <c r="D5" s="2" t="n">
        <v>28</v>
      </c>
      <c r="E5" s="2" t="n">
        <v>240</v>
      </c>
      <c r="F5" s="2" t="n">
        <v>12</v>
      </c>
      <c r="G5" s="2" t="n">
        <v>8</v>
      </c>
      <c r="H5" s="2" t="n">
        <v>3</v>
      </c>
      <c r="I5" s="2" t="n">
        <v>4</v>
      </c>
      <c r="J5" s="2" t="n">
        <v>4</v>
      </c>
      <c r="K5" s="2" t="n">
        <v>4</v>
      </c>
      <c r="L5" s="2" t="s">
        <v>15</v>
      </c>
    </row>
    <row r="6" customFormat="false" ht="12.8" hidden="false" customHeight="false" outlineLevel="0" collapsed="false">
      <c r="A6" s="2" t="s">
        <v>16</v>
      </c>
      <c r="B6" s="2"/>
      <c r="C6" s="2" t="n">
        <v>31</v>
      </c>
      <c r="D6" s="2"/>
      <c r="E6" s="2" t="n">
        <v>304</v>
      </c>
      <c r="F6" s="2"/>
      <c r="G6" s="2" t="s">
        <v>17</v>
      </c>
      <c r="H6" s="2"/>
      <c r="I6" s="2"/>
      <c r="J6" s="2"/>
      <c r="K6" s="2"/>
      <c r="L6" s="2"/>
    </row>
    <row r="8" customFormat="false" ht="12.8" hidden="false" customHeight="false" outlineLevel="0" collapsed="false">
      <c r="A8" s="1" t="s">
        <v>18</v>
      </c>
    </row>
    <row r="9" customFormat="false" ht="12.8" hidden="false" customHeight="false" outlineLevel="0" collapsed="false">
      <c r="A9" s="2" t="s">
        <v>19</v>
      </c>
      <c r="B9" s="2" t="s">
        <v>20</v>
      </c>
      <c r="C9" s="2" t="s">
        <v>21</v>
      </c>
    </row>
    <row r="10" customFormat="false" ht="12.8" hidden="false" customHeight="false" outlineLevel="0" collapsed="false">
      <c r="A10" s="2" t="n">
        <v>12</v>
      </c>
      <c r="B10" s="2" t="n">
        <v>12</v>
      </c>
      <c r="C10" s="2" t="n">
        <v>12</v>
      </c>
    </row>
    <row r="11" customFormat="false" ht="12.8" hidden="false" customHeight="false" outlineLevel="0" collapsed="false">
      <c r="A11" s="2" t="n">
        <f aca="false">-2-3-3-2</f>
        <v>-10</v>
      </c>
      <c r="B11" s="2" t="n">
        <f aca="false">-1-2</f>
        <v>-3</v>
      </c>
      <c r="C11" s="2" t="n">
        <f aca="false">-2-3</f>
        <v>-5</v>
      </c>
    </row>
    <row r="13" customFormat="false" ht="12.8" hidden="false" customHeight="false" outlineLevel="0" collapsed="false">
      <c r="A13" s="1" t="s">
        <v>22</v>
      </c>
    </row>
    <row r="14" customFormat="false" ht="12.8" hidden="false" customHeight="false" outlineLevel="0" collapsed="false">
      <c r="A14" s="2" t="s">
        <v>23</v>
      </c>
      <c r="B14" s="2" t="s">
        <v>24</v>
      </c>
      <c r="C14" s="2" t="s">
        <v>25</v>
      </c>
    </row>
    <row r="15" customFormat="false" ht="23.7" hidden="false" customHeight="false" outlineLevel="0" collapsed="false">
      <c r="A15" s="3" t="s">
        <v>26</v>
      </c>
      <c r="B15" s="2"/>
      <c r="C15" s="2" t="s">
        <v>27</v>
      </c>
    </row>
    <row r="16" customFormat="false" ht="12.8" hidden="false" customHeight="false" outlineLevel="0" collapsed="false">
      <c r="A16" s="2" t="s">
        <v>28</v>
      </c>
      <c r="B16" s="2" t="s">
        <v>29</v>
      </c>
      <c r="C16" s="2"/>
    </row>
    <row r="18" customFormat="false" ht="12.8" hidden="false" customHeight="false" outlineLevel="0" collapsed="false">
      <c r="A18" s="1" t="s">
        <v>30</v>
      </c>
    </row>
    <row r="19" customFormat="false" ht="12.8" hidden="false" customHeight="false" outlineLevel="0" collapsed="false">
      <c r="A19" s="2" t="s">
        <v>23</v>
      </c>
      <c r="B19" s="2"/>
      <c r="C19" s="2" t="s">
        <v>24</v>
      </c>
      <c r="D19" s="2"/>
      <c r="E19" s="2" t="s">
        <v>25</v>
      </c>
      <c r="F19" s="2" t="s">
        <v>12</v>
      </c>
      <c r="G19" s="2" t="s">
        <v>23</v>
      </c>
      <c r="H19" s="2"/>
      <c r="I19" s="2" t="s">
        <v>24</v>
      </c>
      <c r="J19" s="2"/>
      <c r="K19" s="2" t="s">
        <v>25</v>
      </c>
      <c r="L19" s="2" t="s">
        <v>12</v>
      </c>
    </row>
    <row r="20" customFormat="false" ht="20.1" hidden="false" customHeight="true" outlineLevel="0" collapsed="false">
      <c r="A20" s="2" t="s">
        <v>31</v>
      </c>
      <c r="B20" s="2"/>
      <c r="C20" s="4" t="s">
        <v>32</v>
      </c>
      <c r="D20" s="4"/>
      <c r="E20" s="2" t="s">
        <v>33</v>
      </c>
      <c r="F20" s="2" t="n">
        <v>1500</v>
      </c>
      <c r="G20" s="5" t="s">
        <v>34</v>
      </c>
      <c r="H20" s="4" t="s">
        <v>35</v>
      </c>
      <c r="I20" s="4"/>
      <c r="J20" s="4"/>
      <c r="K20" s="6"/>
      <c r="L20" s="5" t="n">
        <v>2400</v>
      </c>
    </row>
    <row r="21" customFormat="false" ht="23.7" hidden="false" customHeight="true" outlineLevel="0" collapsed="false">
      <c r="A21" s="2" t="s">
        <v>36</v>
      </c>
      <c r="B21" s="2"/>
      <c r="C21" s="4" t="s">
        <v>37</v>
      </c>
      <c r="D21" s="4"/>
      <c r="E21" s="2" t="s">
        <v>38</v>
      </c>
      <c r="F21" s="2" t="n">
        <v>1500</v>
      </c>
      <c r="G21" s="6"/>
      <c r="H21" s="4"/>
      <c r="I21" s="4"/>
      <c r="J21" s="4"/>
      <c r="K21" s="6"/>
      <c r="L21" s="6"/>
    </row>
    <row r="22" customFormat="false" ht="57.45" hidden="false" customHeight="true" outlineLevel="0" collapsed="false">
      <c r="A22" s="2" t="s">
        <v>39</v>
      </c>
      <c r="B22" s="2"/>
      <c r="C22" s="4" t="s">
        <v>40</v>
      </c>
      <c r="D22" s="4"/>
      <c r="E22" s="2" t="s">
        <v>33</v>
      </c>
      <c r="F22" s="2" t="n">
        <v>4000</v>
      </c>
      <c r="G22" s="5" t="s">
        <v>41</v>
      </c>
      <c r="H22" s="7" t="s">
        <v>42</v>
      </c>
      <c r="I22" s="7"/>
      <c r="J22" s="7"/>
      <c r="K22" s="5" t="s">
        <v>43</v>
      </c>
      <c r="L22" s="5" t="n">
        <v>15000</v>
      </c>
    </row>
    <row r="23" customFormat="false" ht="12.8" hidden="false" customHeight="true" outlineLevel="0" collapsed="false">
      <c r="A23" s="8" t="s">
        <v>44</v>
      </c>
      <c r="B23" s="8"/>
      <c r="C23" s="9" t="s">
        <v>45</v>
      </c>
      <c r="D23" s="9"/>
      <c r="E23" s="8" t="s">
        <v>38</v>
      </c>
      <c r="F23" s="8" t="n">
        <v>8500</v>
      </c>
      <c r="G23" s="5" t="s">
        <v>46</v>
      </c>
      <c r="H23" s="6"/>
      <c r="I23" s="6"/>
      <c r="J23" s="6"/>
      <c r="K23" s="6"/>
      <c r="L23" s="6"/>
    </row>
    <row r="24" customFormat="false" ht="34.9" hidden="false" customHeight="true" outlineLevel="0" collapsed="false">
      <c r="A24" s="5" t="s">
        <v>47</v>
      </c>
      <c r="B24" s="5"/>
      <c r="C24" s="4" t="s">
        <v>48</v>
      </c>
      <c r="D24" s="4"/>
      <c r="E24" s="5" t="s">
        <v>49</v>
      </c>
      <c r="F24" s="5" t="n">
        <v>20000</v>
      </c>
      <c r="G24" s="5" t="s">
        <v>50</v>
      </c>
      <c r="H24" s="6"/>
      <c r="I24" s="6"/>
      <c r="J24" s="6"/>
      <c r="K24" s="5" t="s">
        <v>51</v>
      </c>
      <c r="L24" s="6"/>
    </row>
    <row r="25" customFormat="false" ht="44.2" hidden="false" customHeight="true" outlineLevel="0" collapsed="false">
      <c r="A25" s="5" t="s">
        <v>52</v>
      </c>
      <c r="B25" s="5"/>
      <c r="C25" s="4" t="s">
        <v>53</v>
      </c>
      <c r="D25" s="4"/>
      <c r="E25" s="5" t="s">
        <v>54</v>
      </c>
      <c r="F25" s="5" t="n">
        <v>5000</v>
      </c>
      <c r="G25" s="5" t="s">
        <v>55</v>
      </c>
      <c r="H25" s="3" t="s">
        <v>56</v>
      </c>
      <c r="I25" s="6"/>
      <c r="J25" s="6"/>
      <c r="K25" s="6"/>
      <c r="L25" s="5" t="n">
        <f aca="false">2500+2500+2500</f>
        <v>7500</v>
      </c>
    </row>
    <row r="26" customFormat="false" ht="23.7" hidden="false" customHeight="true" outlineLevel="0" collapsed="false">
      <c r="A26" s="5" t="s">
        <v>57</v>
      </c>
      <c r="B26" s="5"/>
      <c r="C26" s="4" t="s">
        <v>58</v>
      </c>
      <c r="D26" s="4"/>
      <c r="E26" s="5" t="s">
        <v>49</v>
      </c>
      <c r="F26" s="5" t="n">
        <f aca="false">8000*3</f>
        <v>24000</v>
      </c>
      <c r="G26" s="10" t="s">
        <v>59</v>
      </c>
      <c r="H26" s="6"/>
      <c r="I26" s="6"/>
      <c r="J26" s="6"/>
      <c r="K26" s="6"/>
      <c r="L26" s="6"/>
    </row>
    <row r="27" customFormat="false" ht="23.7" hidden="false" customHeight="true" outlineLevel="0" collapsed="false">
      <c r="A27" s="5" t="s">
        <v>60</v>
      </c>
      <c r="B27" s="5"/>
      <c r="C27" s="4" t="s">
        <v>61</v>
      </c>
      <c r="D27" s="4"/>
      <c r="E27" s="5" t="s">
        <v>54</v>
      </c>
      <c r="F27" s="5" t="n">
        <f aca="false">2*15000</f>
        <v>30000</v>
      </c>
      <c r="G27" s="6"/>
      <c r="H27" s="6"/>
      <c r="I27" s="6"/>
      <c r="J27" s="6"/>
      <c r="K27" s="6"/>
      <c r="L27" s="6"/>
    </row>
    <row r="28" customFormat="false" ht="12.8" hidden="false" customHeight="false" outlineLevel="0" collapsed="false">
      <c r="A28" s="5" t="s">
        <v>62</v>
      </c>
      <c r="B28" s="5"/>
      <c r="C28" s="4"/>
      <c r="D28" s="4"/>
      <c r="E28" s="5" t="s">
        <v>63</v>
      </c>
      <c r="F28" s="5" t="n">
        <v>6400</v>
      </c>
    </row>
    <row r="29" customFormat="false" ht="12.8" hidden="false" customHeight="true" outlineLevel="0" collapsed="false">
      <c r="A29" s="5" t="s">
        <v>64</v>
      </c>
      <c r="B29" s="5"/>
      <c r="C29" s="4" t="s">
        <v>65</v>
      </c>
      <c r="D29" s="4"/>
      <c r="E29" s="5" t="s">
        <v>66</v>
      </c>
      <c r="F29" s="5" t="n">
        <v>12000</v>
      </c>
    </row>
    <row r="30" customFormat="false" ht="23.45" hidden="false" customHeight="true" outlineLevel="0" collapsed="false">
      <c r="A30" s="5" t="s">
        <v>67</v>
      </c>
      <c r="B30" s="4" t="s">
        <v>68</v>
      </c>
      <c r="C30" s="4"/>
      <c r="D30" s="4"/>
      <c r="E30" s="5" t="s">
        <v>49</v>
      </c>
      <c r="F30" s="5" t="n">
        <v>13500</v>
      </c>
    </row>
    <row r="31" customFormat="false" ht="12.8" hidden="false" customHeight="false" outlineLevel="0" collapsed="false">
      <c r="A31" s="8" t="s">
        <v>69</v>
      </c>
      <c r="B31" s="8"/>
      <c r="C31" s="8"/>
      <c r="D31" s="8"/>
      <c r="E31" s="8"/>
      <c r="F31" s="11" t="s">
        <v>70</v>
      </c>
    </row>
    <row r="32" customFormat="false" ht="12.8" hidden="false" customHeight="false" outlineLevel="0" collapsed="false">
      <c r="B32" s="0"/>
      <c r="E32" s="0"/>
    </row>
    <row r="33" customFormat="false" ht="12.8" hidden="false" customHeight="false" outlineLevel="0" collapsed="false">
      <c r="A33" s="2" t="s">
        <v>23</v>
      </c>
      <c r="B33" s="2"/>
      <c r="C33" s="2" t="s">
        <v>24</v>
      </c>
      <c r="D33" s="2"/>
      <c r="E33" s="2" t="s">
        <v>25</v>
      </c>
      <c r="F33" s="2" t="s">
        <v>12</v>
      </c>
    </row>
    <row r="34" customFormat="false" ht="12.8" hidden="false" customHeight="false" outlineLevel="0" collapsed="false">
      <c r="A34" s="8" t="s">
        <v>71</v>
      </c>
      <c r="B34" s="8"/>
      <c r="C34" s="8"/>
      <c r="D34" s="8"/>
      <c r="E34" s="8" t="s">
        <v>72</v>
      </c>
      <c r="F34" s="11" t="s">
        <v>73</v>
      </c>
    </row>
    <row r="36" customFormat="false" ht="12.8" hidden="false" customHeight="false" outlineLevel="0" collapsed="false">
      <c r="B36" s="1" t="s">
        <v>74</v>
      </c>
      <c r="D36" s="1" t="n">
        <f aca="false">160000+5000+30000</f>
        <v>195000</v>
      </c>
      <c r="F36" s="1" t="s">
        <v>75</v>
      </c>
    </row>
  </sheetData>
  <mergeCells count="13">
    <mergeCell ref="C20:D20"/>
    <mergeCell ref="H20:J21"/>
    <mergeCell ref="C21:D21"/>
    <mergeCell ref="C22:D22"/>
    <mergeCell ref="H22:J22"/>
    <mergeCell ref="C23:D23"/>
    <mergeCell ref="C24:D24"/>
    <mergeCell ref="C25:D25"/>
    <mergeCell ref="C26:D26"/>
    <mergeCell ref="C27:D27"/>
    <mergeCell ref="C28:D28"/>
    <mergeCell ref="C29:D29"/>
    <mergeCell ref="B30:D30"/>
  </mergeCells>
  <printOptions headings="false" gridLines="false" gridLinesSet="true" horizontalCentered="false" verticalCentered="false"/>
  <pageMargins left="0.172916666666667" right="0.169444444444444" top="0.311805555555556" bottom="0.311805555555556" header="0.172916666666667" footer="0.172916666666667"/>
  <pageSetup paperSize="9" scale="97" fitToWidth="1" fitToHeight="1" pageOrder="downThenOver" orientation="landscape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&amp;CСтраница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455</TotalTime>
  <Application>LibreOffice/7.6.4.1$Windows_X86_64 LibreOffice_project/e19e193f88cd6c0525a17fb7a176ed8e6a3e2aa1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2026-05-23T17:27:03Z</dcterms:created>
  <dc:creator/>
  <dc:description/>
  <dc:language>ru-RU</dc:language>
  <cp:lastModifiedBy/>
  <cp:lastPrinted>2026-09-13T13:22:51Z</cp:lastPrinted>
  <dcterms:modified xsi:type="dcterms:W3CDTF">2026-09-13T13:23:57Z</dcterms:modified>
  <cp:revision>50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