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Генераторы" sheetId="1" state="visible" r:id="rId3"/>
    <sheet name="Двигатели" sheetId="2" state="visible" r:id="rId4"/>
    <sheet name="Орудия" sheetId="3" state="visible" r:id="rId5"/>
    <sheet name="Снаряды" sheetId="4" state="visible" r:id="rId6"/>
    <sheet name="Модули" sheetId="5" state="visible" r:id="rId7"/>
    <sheet name="Сводная таблица базовых констру" sheetId="6" state="visible" r:id="rId8"/>
  </sheets>
  <definedNames>
    <definedName function="false" hidden="true" localSheetId="0" name="_xlnm._FilterDatabase" vbProcedure="false">Генераторы!$A$1:$G$4</definedName>
    <definedName function="false" hidden="true" localSheetId="1" name="_xlnm._FilterDatabase" vbProcedure="false">Двигатели!$A$1:$E$5</definedName>
    <definedName function="false" hidden="true" localSheetId="2" name="_xlnm._FilterDatabase" vbProcedure="false">Орудия!$A$1:$G$9</definedName>
    <definedName function="false" hidden="true" localSheetId="5" name="_xlnm._FilterDatabase" vbProcedure="false">'Сводная таблица базовых констру'!$A$1:$N$73</definedName>
    <definedName function="false" hidden="false" localSheetId="0" name="Генераторы" vbProcedure="false">Генераторы!$A$1:$G$4</definedName>
    <definedName function="false" hidden="false" localSheetId="0" name="Двигатели" vbProcedure="false">Генераторы!$A$1:$E$4</definedName>
    <definedName function="false" hidden="false" localSheetId="0" name="Орудия" vbProcedure="false">Генераторы!$A$1:$G$9</definedName>
    <definedName function="false" hidden="false" localSheetId="1" name="Генераторы" vbProcedure="false">Двигатели!$A$1:$G$4</definedName>
    <definedName function="false" hidden="false" localSheetId="1" name="Двигатели" vbProcedure="false">Двигатели!$A$1:$E$4</definedName>
    <definedName function="false" hidden="false" localSheetId="1" name="Орудия" vbProcedure="false">Двигатели!$A$1:$G$9</definedName>
    <definedName function="false" hidden="false" localSheetId="2" name="Генераторы" vbProcedure="false">Орудия!$A$1:$G$4</definedName>
    <definedName function="false" hidden="false" localSheetId="2" name="Двигатели" vbProcedure="false">Орудия!$A$1:$F$4</definedName>
    <definedName function="false" hidden="false" localSheetId="2" name="Орудия" vbProcedure="false">Орудия!$A$1:$G$9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<sst xmlns="http://schemas.openxmlformats.org/spreadsheetml/2006/main" count="87" uniqueCount="63">
  <si>
    <t xml:space="preserve">Название генератора</t>
  </si>
  <si>
    <t xml:space="preserve">Очки Энергии</t>
  </si>
  <si>
    <t xml:space="preserve">Бросок на защиту щита</t>
  </si>
  <si>
    <t xml:space="preserve">Изменение манёвренности</t>
  </si>
  <si>
    <t xml:space="preserve">Дополнительные свойства</t>
  </si>
  <si>
    <t xml:space="preserve">Совместимость двигателей</t>
  </si>
  <si>
    <t xml:space="preserve">Стоимость реквизиций</t>
  </si>
  <si>
    <t xml:space="preserve">SG-2KT</t>
  </si>
  <si>
    <t xml:space="preserve">3+</t>
  </si>
  <si>
    <t xml:space="preserve">-</t>
  </si>
  <si>
    <t xml:space="preserve">Серия LQ-B</t>
  </si>
  <si>
    <t xml:space="preserve">SG-3KT</t>
  </si>
  <si>
    <t xml:space="preserve">SG-8KT</t>
  </si>
  <si>
    <t xml:space="preserve">4+</t>
  </si>
  <si>
    <t xml:space="preserve">Название двигателя</t>
  </si>
  <si>
    <t xml:space="preserve">Потребление энергии</t>
  </si>
  <si>
    <t xml:space="preserve">Общий запас манёвренности</t>
  </si>
  <si>
    <t xml:space="preserve">LQB-S</t>
  </si>
  <si>
    <t xml:space="preserve">LQB-M</t>
  </si>
  <si>
    <t xml:space="preserve">LQB-L</t>
  </si>
  <si>
    <t xml:space="preserve">Название орудия</t>
  </si>
  <si>
    <t xml:space="preserve">Тип снаряда</t>
  </si>
  <si>
    <t xml:space="preserve">Дальность стрельбы</t>
  </si>
  <si>
    <t xml:space="preserve">HRP "Зевс"</t>
  </si>
  <si>
    <t xml:space="preserve">Кристалл</t>
  </si>
  <si>
    <t xml:space="preserve">15/25'</t>
  </si>
  <si>
    <t xml:space="preserve">BT "Молот"</t>
  </si>
  <si>
    <t xml:space="preserve">Болт</t>
  </si>
  <si>
    <t xml:space="preserve">12/24'</t>
  </si>
  <si>
    <t xml:space="preserve">MT-M "Орган"</t>
  </si>
  <si>
    <t xml:space="preserve">ракета</t>
  </si>
  <si>
    <t xml:space="preserve">8/18'</t>
  </si>
  <si>
    <t xml:space="preserve">RP "Рейкастер"</t>
  </si>
  <si>
    <t xml:space="preserve">8/16'</t>
  </si>
  <si>
    <t xml:space="preserve">HBT "Рубрик"</t>
  </si>
  <si>
    <t xml:space="preserve">тяж. Болт</t>
  </si>
  <si>
    <t xml:space="preserve">18/32'</t>
  </si>
  <si>
    <t xml:space="preserve">MT-L "сверчок"</t>
  </si>
  <si>
    <t xml:space="preserve">Лёгкая ракета</t>
  </si>
  <si>
    <t xml:space="preserve">FTLW "Смайт"</t>
  </si>
  <si>
    <t xml:space="preserve">FTL-болт</t>
  </si>
  <si>
    <t xml:space="preserve">-/40'</t>
  </si>
  <si>
    <t xml:space="preserve">BT-D спаренный "молот"</t>
  </si>
  <si>
    <t xml:space="preserve">Название снаряда</t>
  </si>
  <si>
    <t xml:space="preserve">Тип</t>
  </si>
  <si>
    <t xml:space="preserve">Точность</t>
  </si>
  <si>
    <t xml:space="preserve">Урон  </t>
  </si>
  <si>
    <t xml:space="preserve">Свойства</t>
  </si>
  <si>
    <t xml:space="preserve">Стоимость реквизиций </t>
  </si>
  <si>
    <t xml:space="preserve">Название модуля</t>
  </si>
  <si>
    <t xml:space="preserve">Тип </t>
  </si>
  <si>
    <t xml:space="preserve">Потребление энергии </t>
  </si>
  <si>
    <t xml:space="preserve">Изменение манёвренности </t>
  </si>
  <si>
    <t xml:space="preserve">Особые свойства</t>
  </si>
  <si>
    <t xml:space="preserve">Очки Энергии генератора</t>
  </si>
  <si>
    <t xml:space="preserve">Изменение манёвренности генератора</t>
  </si>
  <si>
    <t xml:space="preserve">Потребление энергии Двигателя</t>
  </si>
  <si>
    <t xml:space="preserve">Общий запас манёвренности двигателя</t>
  </si>
  <si>
    <t xml:space="preserve">Потребление энергии орудия</t>
  </si>
  <si>
    <t xml:space="preserve">Изменение манёвренности орудия</t>
  </si>
  <si>
    <t xml:space="preserve">Дальность стрельбы орудия</t>
  </si>
  <si>
    <t xml:space="preserve">Итоговая энергия</t>
  </si>
  <si>
    <t xml:space="preserve">Итоговая манёвренность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</si>
</sst>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Times New Roman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26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  <cellStyle name="Акцент 1" xfId="26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5" activeCellId="0" sqref="C5"/>
    </sheetView>
  </sheetViews>
  <sheetFormatPr defaultColWidth="8.65234375" defaultRowHeight="12.75" customHeight="false" zeroHeight="false" outlineLevelRow="0" outlineLevelCol="0"/>
  <cols>
    <col collapsed="false" customWidth="true" hidden="false" outlineLevel="0" max="2" min="1" style="1" width="11.49"/>
    <col collapsed="false" customWidth="true" hidden="false" outlineLevel="0" max="3" min="3" style="2" width="11.49"/>
    <col collapsed="false" customWidth="true" hidden="false" outlineLevel="0" max="7" min="4" style="1" width="11.49"/>
    <col collapsed="false" customWidth="false" hidden="false" outlineLevel="0" max="16384" min="8" style="1" width="8.65"/>
  </cols>
  <sheetData>
    <row r="1" customFormat="false" ht="46.2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2.75" hidden="false" customHeight="false" outlineLevel="0" collapsed="false">
      <c r="A2" s="3" t="s">
        <v>7</v>
      </c>
      <c r="B2" s="5" t="n">
        <v>10</v>
      </c>
      <c r="C2" s="4" t="s">
        <v>8</v>
      </c>
      <c r="D2" s="5" t="n">
        <v>2</v>
      </c>
      <c r="E2" s="3" t="s">
        <v>9</v>
      </c>
      <c r="F2" s="3" t="s">
        <v>10</v>
      </c>
      <c r="G2" s="3" t="n">
        <v>10</v>
      </c>
    </row>
    <row r="3" customFormat="false" ht="12.75" hidden="false" customHeight="false" outlineLevel="0" collapsed="false">
      <c r="A3" s="3" t="s">
        <v>11</v>
      </c>
      <c r="B3" s="5" t="n">
        <v>15</v>
      </c>
      <c r="C3" s="4" t="s">
        <v>8</v>
      </c>
      <c r="D3" s="5" t="n">
        <v>3</v>
      </c>
      <c r="E3" s="3" t="s">
        <v>9</v>
      </c>
      <c r="F3" s="3" t="s">
        <v>10</v>
      </c>
      <c r="G3" s="3" t="n">
        <v>20</v>
      </c>
    </row>
    <row r="4" customFormat="false" ht="12.75" hidden="false" customHeight="false" outlineLevel="0" collapsed="false">
      <c r="A4" s="3" t="s">
        <v>12</v>
      </c>
      <c r="B4" s="5" t="n">
        <v>20</v>
      </c>
      <c r="C4" s="4" t="s">
        <v>13</v>
      </c>
      <c r="D4" s="5" t="n">
        <v>8</v>
      </c>
      <c r="E4" s="3" t="s">
        <v>9</v>
      </c>
      <c r="F4" s="3" t="s">
        <v>10</v>
      </c>
      <c r="G4" s="3" t="n">
        <v>30</v>
      </c>
    </row>
  </sheetData>
  <autoFilter ref="A1:G4"/>
  <printOptions headings="false" gridLines="false" gridLinesSet="true" horizontalCentered="false" verticalCentered="false"/>
  <pageMargins left="0" right="0" top="0" bottom="0" header="0" footer="0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&amp;C&amp;Kffffff&amp;A</oddHeader>
    <oddFooter>&amp;C&amp;KffffffСтраница &amp;P</oddFooter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5" activeCellId="0" sqref="A5"/>
    </sheetView>
  </sheetViews>
  <sheetFormatPr defaultColWidth="8.65234375" defaultRowHeight="12.75" customHeight="false" zeroHeight="false" outlineLevelRow="0" outlineLevelCol="0"/>
  <cols>
    <col collapsed="false" customWidth="true" hidden="false" outlineLevel="0" max="5" min="1" style="1" width="11.49"/>
    <col collapsed="false" customWidth="false" hidden="false" outlineLevel="0" max="16384" min="6" style="1" width="8.65"/>
  </cols>
  <sheetData>
    <row r="1" customFormat="false" ht="46.2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4</v>
      </c>
      <c r="E1" s="3" t="s">
        <v>6</v>
      </c>
    </row>
    <row r="2" customFormat="false" ht="12.75" hidden="false" customHeight="false" outlineLevel="0" collapsed="false">
      <c r="A2" s="3" t="s">
        <v>17</v>
      </c>
      <c r="B2" s="5" t="n">
        <v>3</v>
      </c>
      <c r="C2" s="5" t="n">
        <v>16</v>
      </c>
      <c r="D2" s="3" t="s">
        <v>9</v>
      </c>
      <c r="E2" s="3" t="n">
        <v>24</v>
      </c>
    </row>
    <row r="3" customFormat="false" ht="12.75" hidden="false" customHeight="false" outlineLevel="0" collapsed="false">
      <c r="A3" s="3" t="s">
        <v>18</v>
      </c>
      <c r="B3" s="5" t="n">
        <v>6</v>
      </c>
      <c r="C3" s="5" t="n">
        <v>18</v>
      </c>
      <c r="D3" s="3" t="s">
        <v>9</v>
      </c>
      <c r="E3" s="3" t="n">
        <v>32</v>
      </c>
    </row>
    <row r="4" customFormat="false" ht="12.75" hidden="false" customHeight="false" outlineLevel="0" collapsed="false">
      <c r="A4" s="3" t="s">
        <v>19</v>
      </c>
      <c r="B4" s="5" t="n">
        <v>10</v>
      </c>
      <c r="C4" s="5" t="n">
        <v>20</v>
      </c>
      <c r="D4" s="3" t="s">
        <v>9</v>
      </c>
      <c r="E4" s="3" t="n">
        <v>40</v>
      </c>
    </row>
  </sheetData>
  <autoFilter ref="A1:E5"/>
  <printOptions headings="false" gridLines="false" gridLinesSet="true" horizontalCentered="false" verticalCentered="false"/>
  <pageMargins left="0" right="0" top="0" bottom="0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>&amp;C&amp;Kffffff&amp;A</oddHeader>
    <oddFooter>&amp;C&amp;KffffffСтраница &amp;P</oddFooter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9" activeCellId="0" sqref="E9"/>
    </sheetView>
  </sheetViews>
  <sheetFormatPr defaultColWidth="8.65234375" defaultRowHeight="12.75" customHeight="false" zeroHeight="false" outlineLevelRow="0" outlineLevelCol="0"/>
  <cols>
    <col collapsed="false" customWidth="true" hidden="false" outlineLevel="0" max="7" min="1" style="1" width="11.49"/>
    <col collapsed="false" customWidth="false" hidden="false" outlineLevel="0" max="16384" min="9" style="1" width="8.65"/>
  </cols>
  <sheetData>
    <row r="1" customFormat="false" ht="46.25" hidden="false" customHeight="false" outlineLevel="0" collapsed="false">
      <c r="A1" s="3" t="s">
        <v>20</v>
      </c>
      <c r="B1" s="3" t="s">
        <v>21</v>
      </c>
      <c r="C1" s="3" t="s">
        <v>15</v>
      </c>
      <c r="D1" s="3" t="s">
        <v>3</v>
      </c>
      <c r="E1" s="3" t="s">
        <v>22</v>
      </c>
      <c r="F1" s="3" t="s">
        <v>4</v>
      </c>
      <c r="G1" s="3" t="s">
        <v>6</v>
      </c>
    </row>
    <row r="2" customFormat="false" ht="12.75" hidden="false" customHeight="false" outlineLevel="0" collapsed="false">
      <c r="A2" s="3" t="s">
        <v>23</v>
      </c>
      <c r="B2" s="3" t="s">
        <v>24</v>
      </c>
      <c r="C2" s="5" t="n">
        <v>10</v>
      </c>
      <c r="D2" s="5" t="n">
        <v>5</v>
      </c>
      <c r="E2" s="5" t="s">
        <v>25</v>
      </c>
    </row>
    <row r="3" customFormat="false" ht="12.75" hidden="false" customHeight="false" outlineLevel="0" collapsed="false">
      <c r="A3" s="3" t="s">
        <v>26</v>
      </c>
      <c r="B3" s="3" t="s">
        <v>27</v>
      </c>
      <c r="C3" s="5" t="n">
        <v>4</v>
      </c>
      <c r="D3" s="5" t="n">
        <v>4</v>
      </c>
      <c r="E3" s="5" t="s">
        <v>28</v>
      </c>
    </row>
    <row r="4" customFormat="false" ht="23.85" hidden="false" customHeight="false" outlineLevel="0" collapsed="false">
      <c r="A4" s="3" t="s">
        <v>29</v>
      </c>
      <c r="B4" s="3" t="s">
        <v>30</v>
      </c>
      <c r="C4" s="5" t="n">
        <v>3</v>
      </c>
      <c r="D4" s="5" t="n">
        <v>4</v>
      </c>
      <c r="E4" s="5" t="s">
        <v>31</v>
      </c>
    </row>
    <row r="5" customFormat="false" ht="23.85" hidden="false" customHeight="false" outlineLevel="0" collapsed="false">
      <c r="A5" s="3" t="s">
        <v>32</v>
      </c>
      <c r="B5" s="3" t="s">
        <v>24</v>
      </c>
      <c r="C5" s="5" t="n">
        <v>4</v>
      </c>
      <c r="D5" s="5" t="n">
        <v>4</v>
      </c>
      <c r="E5" s="5" t="s">
        <v>33</v>
      </c>
    </row>
    <row r="6" customFormat="false" ht="23.85" hidden="false" customHeight="false" outlineLevel="0" collapsed="false">
      <c r="A6" s="3" t="s">
        <v>34</v>
      </c>
      <c r="B6" s="3" t="s">
        <v>35</v>
      </c>
      <c r="C6" s="5" t="n">
        <v>10</v>
      </c>
      <c r="D6" s="5" t="n">
        <v>5</v>
      </c>
      <c r="E6" s="5" t="s">
        <v>36</v>
      </c>
    </row>
    <row r="7" customFormat="false" ht="23.85" hidden="false" customHeight="false" outlineLevel="0" collapsed="false">
      <c r="A7" s="3" t="s">
        <v>37</v>
      </c>
      <c r="B7" s="3" t="s">
        <v>38</v>
      </c>
      <c r="C7" s="5" t="n">
        <v>2</v>
      </c>
      <c r="D7" s="5" t="n">
        <v>3</v>
      </c>
      <c r="E7" s="5" t="s">
        <v>31</v>
      </c>
    </row>
    <row r="8" customFormat="false" ht="23.85" hidden="false" customHeight="false" outlineLevel="0" collapsed="false">
      <c r="A8" s="3" t="s">
        <v>39</v>
      </c>
      <c r="B8" s="3" t="s">
        <v>40</v>
      </c>
      <c r="C8" s="5" t="n">
        <v>14</v>
      </c>
      <c r="D8" s="5" t="n">
        <v>8</v>
      </c>
      <c r="E8" s="5" t="s">
        <v>41</v>
      </c>
    </row>
    <row r="9" customFormat="false" ht="35.05" hidden="false" customHeight="false" outlineLevel="0" collapsed="false">
      <c r="A9" s="3" t="s">
        <v>42</v>
      </c>
      <c r="B9" s="3" t="s">
        <v>27</v>
      </c>
      <c r="C9" s="5" t="n">
        <v>8</v>
      </c>
      <c r="D9" s="5" t="n">
        <v>5</v>
      </c>
      <c r="E9" s="5" t="s">
        <v>28</v>
      </c>
    </row>
  </sheetData>
  <autoFilter ref="A1:G9"/>
  <printOptions headings="false" gridLines="false" gridLinesSet="true" horizontalCentered="false" verticalCentered="false"/>
  <pageMargins left="0" right="0" top="0" bottom="0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>&amp;C&amp;Kffffff&amp;A</oddHeader>
    <oddFooter>&amp;C&amp;KffffffСтраница &amp;P</oddFooter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53515625" defaultRowHeight="12.8" customHeight="false" zeroHeight="false" outlineLevelRow="0" outlineLevelCol="0"/>
  <sheetData>
    <row r="1" customFormat="false" ht="35.05" hidden="false" customHeight="fals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I20" activeCellId="0" sqref="I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5" width="14.25"/>
    <col collapsed="false" customWidth="true" hidden="false" outlineLevel="0" max="2" min="2" style="5" width="14.34"/>
    <col collapsed="false" customWidth="true" hidden="false" outlineLevel="0" max="3" min="3" style="5" width="11.74"/>
    <col collapsed="false" customWidth="true" hidden="false" outlineLevel="0" max="4" min="4" style="5" width="16.43"/>
    <col collapsed="false" customWidth="true" hidden="false" outlineLevel="0" max="5" min="5" style="5" width="13.13"/>
    <col collapsed="false" customWidth="true" hidden="false" outlineLevel="0" max="6" min="6" style="5" width="13.39"/>
    <col collapsed="false" customWidth="true" hidden="false" outlineLevel="0" max="7" min="7" style="5" width="14.34"/>
    <col collapsed="false" customWidth="true" hidden="false" outlineLevel="0" max="8" min="8" style="5" width="14.6"/>
    <col collapsed="false" customWidth="true" hidden="false" outlineLevel="0" max="9" min="9" style="5" width="14.08"/>
    <col collapsed="false" customWidth="true" hidden="false" outlineLevel="0" max="10" min="10" style="5" width="15.22"/>
    <col collapsed="false" customWidth="true" hidden="false" outlineLevel="0" max="11" min="11" style="5" width="18.25"/>
    <col collapsed="false" customWidth="true" hidden="false" outlineLevel="0" max="12" min="12" style="5" width="13.91"/>
    <col collapsed="false" customWidth="false" hidden="false" outlineLevel="0" max="15" min="13" style="5" width="11.53"/>
    <col collapsed="false" customWidth="true" hidden="false" outlineLevel="0" max="16" min="16" style="5" width="20.25"/>
    <col collapsed="false" customWidth="false" hidden="false" outlineLevel="0" max="16384" min="22" style="5" width="11.53"/>
  </cols>
  <sheetData>
    <row r="1" customFormat="false" ht="55" hidden="false" customHeight="true" outlineLevel="0" collapsed="false">
      <c r="A1" s="7" t="s">
        <v>0</v>
      </c>
      <c r="B1" s="7" t="s">
        <v>54</v>
      </c>
      <c r="C1" s="7" t="s">
        <v>2</v>
      </c>
      <c r="D1" s="7" t="s">
        <v>55</v>
      </c>
      <c r="E1" s="7" t="s">
        <v>14</v>
      </c>
      <c r="F1" s="7" t="s">
        <v>56</v>
      </c>
      <c r="G1" s="7" t="s">
        <v>57</v>
      </c>
      <c r="H1" s="7" t="s">
        <v>20</v>
      </c>
      <c r="I1" s="3" t="s">
        <v>21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</row>
    <row r="2" customFormat="false" ht="12.8" hidden="false" customHeight="false" outlineLevel="0" collapsed="false">
      <c r="A2" s="5" t="str">
        <f aca="false">Генераторы!A$2</f>
        <v>SG-2KT</v>
      </c>
      <c r="B2" s="5" t="n">
        <f aca="false">Генераторы!B$2</f>
        <v>10</v>
      </c>
      <c r="C2" s="5" t="str">
        <f aca="false">Генераторы!C$2</f>
        <v>3+</v>
      </c>
      <c r="D2" s="5" t="n">
        <f aca="false">Генераторы!D$2</f>
        <v>2</v>
      </c>
      <c r="E2" s="5" t="str">
        <f aca="false">Двигатели!A$2</f>
        <v>LQB-S</v>
      </c>
      <c r="F2" s="5" t="n">
        <f aca="false">Двигатели!B$2</f>
        <v>3</v>
      </c>
      <c r="G2" s="5" t="n">
        <f aca="false">Двигатели!C$2</f>
        <v>16</v>
      </c>
      <c r="H2" s="1" t="str">
        <f aca="false">Орудия!A$2</f>
        <v>HRP "Зевс"</v>
      </c>
      <c r="I2" s="1" t="str">
        <f aca="false">Орудия!B$2</f>
        <v>Кристалл</v>
      </c>
      <c r="J2" s="1" t="n">
        <f aca="false">Орудия!C$2</f>
        <v>10</v>
      </c>
      <c r="K2" s="1" t="n">
        <f aca="false">Орудия!D$2</f>
        <v>5</v>
      </c>
      <c r="L2" s="5" t="str">
        <f aca="false">Орудия!E$2</f>
        <v>15/25'</v>
      </c>
      <c r="M2" s="5" t="n">
        <f aca="false">B2-F2-J2</f>
        <v>-3</v>
      </c>
      <c r="N2" s="5" t="n">
        <f aca="false">G2-D2-K2</f>
        <v>9</v>
      </c>
    </row>
    <row r="3" customFormat="false" ht="12.8" hidden="false" customHeight="false" outlineLevel="0" collapsed="false">
      <c r="A3" s="5" t="str">
        <f aca="false">Генераторы!A$3</f>
        <v>SG-3KT</v>
      </c>
      <c r="B3" s="5" t="n">
        <f aca="false">Генераторы!B$3</f>
        <v>15</v>
      </c>
      <c r="C3" s="5" t="str">
        <f aca="false">Генераторы!C$3</f>
        <v>3+</v>
      </c>
      <c r="D3" s="5" t="n">
        <f aca="false">Генераторы!D$3</f>
        <v>3</v>
      </c>
      <c r="E3" s="5" t="str">
        <f aca="false">Двигатели!A$2</f>
        <v>LQB-S</v>
      </c>
      <c r="F3" s="5" t="n">
        <f aca="false">Двигатели!B$2</f>
        <v>3</v>
      </c>
      <c r="G3" s="5" t="n">
        <f aca="false">Двигатели!C$2</f>
        <v>16</v>
      </c>
      <c r="H3" s="1" t="str">
        <f aca="false">Орудия!A$2</f>
        <v>HRP "Зевс"</v>
      </c>
      <c r="I3" s="1" t="str">
        <f aca="false">Орудия!B$2</f>
        <v>Кристалл</v>
      </c>
      <c r="J3" s="1" t="n">
        <f aca="false">Орудия!C$2</f>
        <v>10</v>
      </c>
      <c r="K3" s="1" t="n">
        <f aca="false">Орудия!D$2</f>
        <v>5</v>
      </c>
      <c r="L3" s="5" t="str">
        <f aca="false">Орудия!E$2</f>
        <v>15/25'</v>
      </c>
      <c r="M3" s="5" t="n">
        <f aca="false">B3-F3-J3</f>
        <v>2</v>
      </c>
      <c r="N3" s="5" t="n">
        <f aca="false">G3-D3-K3</f>
        <v>8</v>
      </c>
    </row>
    <row r="4" customFormat="false" ht="12.8" hidden="false" customHeight="false" outlineLevel="0" collapsed="false">
      <c r="A4" s="5" t="str">
        <f aca="false">Генераторы!A$4</f>
        <v>SG-8KT</v>
      </c>
      <c r="B4" s="5" t="n">
        <f aca="false">Генераторы!B$4</f>
        <v>20</v>
      </c>
      <c r="C4" s="5" t="str">
        <f aca="false">Генераторы!C$4</f>
        <v>4+</v>
      </c>
      <c r="D4" s="5" t="n">
        <f aca="false">Генераторы!D$4</f>
        <v>8</v>
      </c>
      <c r="E4" s="5" t="str">
        <f aca="false">Двигатели!A$2</f>
        <v>LQB-S</v>
      </c>
      <c r="F4" s="5" t="n">
        <f aca="false">Двигатели!B$2</f>
        <v>3</v>
      </c>
      <c r="G4" s="5" t="n">
        <f aca="false">Двигатели!C$2</f>
        <v>16</v>
      </c>
      <c r="H4" s="1" t="str">
        <f aca="false">Орудия!A$2</f>
        <v>HRP "Зевс"</v>
      </c>
      <c r="I4" s="1" t="str">
        <f aca="false">Орудия!B$2</f>
        <v>Кристалл</v>
      </c>
      <c r="J4" s="1" t="n">
        <f aca="false">Орудия!C$2</f>
        <v>10</v>
      </c>
      <c r="K4" s="1" t="n">
        <f aca="false">Орудия!D$2</f>
        <v>5</v>
      </c>
      <c r="L4" s="5" t="str">
        <f aca="false">Орудия!E$2</f>
        <v>15/25'</v>
      </c>
      <c r="M4" s="5" t="n">
        <f aca="false">B4-F4-J4</f>
        <v>7</v>
      </c>
      <c r="N4" s="5" t="n">
        <f aca="false">G4-D4-K4</f>
        <v>3</v>
      </c>
    </row>
    <row r="5" customFormat="false" ht="12.8" hidden="false" customHeight="false" outlineLevel="0" collapsed="false">
      <c r="A5" s="5" t="str">
        <f aca="false">Генераторы!A$2</f>
        <v>SG-2KT</v>
      </c>
      <c r="B5" s="5" t="n">
        <f aca="false">Генераторы!B$2</f>
        <v>10</v>
      </c>
      <c r="C5" s="5" t="str">
        <f aca="false">Генераторы!C$2</f>
        <v>3+</v>
      </c>
      <c r="D5" s="5" t="n">
        <f aca="false">Генераторы!D$2</f>
        <v>2</v>
      </c>
      <c r="E5" s="5" t="str">
        <f aca="false">Двигатели!A$3</f>
        <v>LQB-M</v>
      </c>
      <c r="F5" s="5" t="n">
        <f aca="false">Двигатели!B$3</f>
        <v>6</v>
      </c>
      <c r="G5" s="5" t="n">
        <f aca="false">Двигатели!C$3</f>
        <v>18</v>
      </c>
      <c r="H5" s="1" t="str">
        <f aca="false">Орудия!A$2</f>
        <v>HRP "Зевс"</v>
      </c>
      <c r="I5" s="1" t="str">
        <f aca="false">Орудия!B$2</f>
        <v>Кристалл</v>
      </c>
      <c r="J5" s="1" t="n">
        <f aca="false">Орудия!C$2</f>
        <v>10</v>
      </c>
      <c r="K5" s="1" t="n">
        <f aca="false">Орудия!D$2</f>
        <v>5</v>
      </c>
      <c r="L5" s="5" t="str">
        <f aca="false">Орудия!E$2</f>
        <v>15/25'</v>
      </c>
      <c r="M5" s="5" t="n">
        <f aca="false">B5-F5-J5</f>
        <v>-6</v>
      </c>
      <c r="N5" s="5" t="n">
        <f aca="false">G5-D5-K5</f>
        <v>11</v>
      </c>
    </row>
    <row r="6" customFormat="false" ht="12.8" hidden="false" customHeight="false" outlineLevel="0" collapsed="false">
      <c r="A6" s="5" t="str">
        <f aca="false">Генераторы!A$3</f>
        <v>SG-3KT</v>
      </c>
      <c r="B6" s="5" t="n">
        <f aca="false">Генераторы!B$3</f>
        <v>15</v>
      </c>
      <c r="C6" s="5" t="str">
        <f aca="false">Генераторы!C$3</f>
        <v>3+</v>
      </c>
      <c r="D6" s="5" t="n">
        <f aca="false">Генераторы!D$3</f>
        <v>3</v>
      </c>
      <c r="E6" s="5" t="str">
        <f aca="false">Двигатели!A$3</f>
        <v>LQB-M</v>
      </c>
      <c r="F6" s="5" t="n">
        <f aca="false">Двигатели!B$3</f>
        <v>6</v>
      </c>
      <c r="G6" s="5" t="n">
        <f aca="false">Двигатели!C$3</f>
        <v>18</v>
      </c>
      <c r="H6" s="1" t="str">
        <f aca="false">Орудия!A$2</f>
        <v>HRP "Зевс"</v>
      </c>
      <c r="I6" s="1" t="str">
        <f aca="false">Орудия!B$2</f>
        <v>Кристалл</v>
      </c>
      <c r="J6" s="1" t="n">
        <f aca="false">Орудия!C$2</f>
        <v>10</v>
      </c>
      <c r="K6" s="1" t="n">
        <f aca="false">Орудия!D$2</f>
        <v>5</v>
      </c>
      <c r="L6" s="5" t="str">
        <f aca="false">Орудия!E$2</f>
        <v>15/25'</v>
      </c>
      <c r="M6" s="5" t="n">
        <f aca="false">B6-F6-J6</f>
        <v>-1</v>
      </c>
      <c r="N6" s="5" t="n">
        <f aca="false">G6-D6-K6</f>
        <v>10</v>
      </c>
    </row>
    <row r="7" customFormat="false" ht="12.8" hidden="false" customHeight="false" outlineLevel="0" collapsed="false">
      <c r="A7" s="5" t="str">
        <f aca="false">Генераторы!A$4</f>
        <v>SG-8KT</v>
      </c>
      <c r="B7" s="5" t="n">
        <f aca="false">Генераторы!B$4</f>
        <v>20</v>
      </c>
      <c r="C7" s="5" t="str">
        <f aca="false">Генераторы!C$4</f>
        <v>4+</v>
      </c>
      <c r="D7" s="5" t="n">
        <f aca="false">Генераторы!D$4</f>
        <v>8</v>
      </c>
      <c r="E7" s="5" t="str">
        <f aca="false">Двигатели!A$3</f>
        <v>LQB-M</v>
      </c>
      <c r="F7" s="5" t="n">
        <f aca="false">Двигатели!B$3</f>
        <v>6</v>
      </c>
      <c r="G7" s="5" t="n">
        <f aca="false">Двигатели!C$3</f>
        <v>18</v>
      </c>
      <c r="H7" s="1" t="str">
        <f aca="false">Орудия!A$2</f>
        <v>HRP "Зевс"</v>
      </c>
      <c r="I7" s="1" t="str">
        <f aca="false">Орудия!B$2</f>
        <v>Кристалл</v>
      </c>
      <c r="J7" s="1" t="n">
        <f aca="false">Орудия!C$2</f>
        <v>10</v>
      </c>
      <c r="K7" s="1" t="n">
        <f aca="false">Орудия!D$2</f>
        <v>5</v>
      </c>
      <c r="L7" s="5" t="str">
        <f aca="false">Орудия!E$2</f>
        <v>15/25'</v>
      </c>
      <c r="M7" s="5" t="n">
        <f aca="false">B7-F7-J7</f>
        <v>4</v>
      </c>
      <c r="N7" s="5" t="n">
        <f aca="false">G7-D7-K7</f>
        <v>5</v>
      </c>
    </row>
    <row r="8" customFormat="false" ht="12.8" hidden="false" customHeight="false" outlineLevel="0" collapsed="false">
      <c r="A8" s="5" t="str">
        <f aca="false">Генераторы!A$2</f>
        <v>SG-2KT</v>
      </c>
      <c r="B8" s="5" t="n">
        <f aca="false">Генераторы!B$2</f>
        <v>10</v>
      </c>
      <c r="C8" s="5" t="str">
        <f aca="false">Генераторы!C$2</f>
        <v>3+</v>
      </c>
      <c r="D8" s="5" t="n">
        <f aca="false">Генераторы!D$2</f>
        <v>2</v>
      </c>
      <c r="E8" s="5" t="str">
        <f aca="false">Двигатели!A$4</f>
        <v>LQB-L</v>
      </c>
      <c r="F8" s="5" t="n">
        <f aca="false">Двигатели!B$4</f>
        <v>10</v>
      </c>
      <c r="G8" s="5" t="n">
        <f aca="false">Двигатели!C$4</f>
        <v>20</v>
      </c>
      <c r="H8" s="1" t="str">
        <f aca="false">Орудия!A$2</f>
        <v>HRP "Зевс"</v>
      </c>
      <c r="I8" s="1" t="str">
        <f aca="false">Орудия!B$2</f>
        <v>Кристалл</v>
      </c>
      <c r="J8" s="1" t="n">
        <f aca="false">Орудия!C$2</f>
        <v>10</v>
      </c>
      <c r="K8" s="1" t="n">
        <f aca="false">Орудия!D$2</f>
        <v>5</v>
      </c>
      <c r="L8" s="5" t="str">
        <f aca="false">Орудия!E$2</f>
        <v>15/25'</v>
      </c>
      <c r="M8" s="5" t="n">
        <f aca="false">B8-F8-J8</f>
        <v>-10</v>
      </c>
      <c r="N8" s="5" t="n">
        <f aca="false">G8-D8-K8</f>
        <v>13</v>
      </c>
    </row>
    <row r="9" customFormat="false" ht="12.8" hidden="false" customHeight="false" outlineLevel="0" collapsed="false">
      <c r="A9" s="5" t="str">
        <f aca="false">Генераторы!A$3</f>
        <v>SG-3KT</v>
      </c>
      <c r="B9" s="5" t="n">
        <f aca="false">Генераторы!B$3</f>
        <v>15</v>
      </c>
      <c r="C9" s="5" t="str">
        <f aca="false">Генераторы!C$3</f>
        <v>3+</v>
      </c>
      <c r="D9" s="5" t="n">
        <f aca="false">Генераторы!D$3</f>
        <v>3</v>
      </c>
      <c r="E9" s="5" t="str">
        <f aca="false">Двигатели!A$4</f>
        <v>LQB-L</v>
      </c>
      <c r="F9" s="5" t="n">
        <f aca="false">Двигатели!B$4</f>
        <v>10</v>
      </c>
      <c r="G9" s="5" t="n">
        <f aca="false">Двигатели!C$4</f>
        <v>20</v>
      </c>
      <c r="H9" s="1" t="str">
        <f aca="false">Орудия!A$2</f>
        <v>HRP "Зевс"</v>
      </c>
      <c r="I9" s="1" t="str">
        <f aca="false">Орудия!B$2</f>
        <v>Кристалл</v>
      </c>
      <c r="J9" s="1" t="n">
        <f aca="false">Орудия!C$2</f>
        <v>10</v>
      </c>
      <c r="K9" s="1" t="n">
        <f aca="false">Орудия!D$2</f>
        <v>5</v>
      </c>
      <c r="L9" s="5" t="str">
        <f aca="false">Орудия!E$2</f>
        <v>15/25'</v>
      </c>
      <c r="M9" s="5" t="n">
        <f aca="false">B9-F9-J9</f>
        <v>-5</v>
      </c>
      <c r="N9" s="5" t="n">
        <f aca="false">G9-D9-K9</f>
        <v>12</v>
      </c>
    </row>
    <row r="10" customFormat="false" ht="12.8" hidden="false" customHeight="false" outlineLevel="0" collapsed="false">
      <c r="A10" s="5" t="str">
        <f aca="false">Генераторы!A$4</f>
        <v>SG-8KT</v>
      </c>
      <c r="B10" s="5" t="n">
        <f aca="false">Генераторы!B$4</f>
        <v>20</v>
      </c>
      <c r="C10" s="5" t="str">
        <f aca="false">Генераторы!C$4</f>
        <v>4+</v>
      </c>
      <c r="D10" s="5" t="n">
        <f aca="false">Генераторы!D$4</f>
        <v>8</v>
      </c>
      <c r="E10" s="5" t="str">
        <f aca="false">Двигатели!A$4</f>
        <v>LQB-L</v>
      </c>
      <c r="F10" s="5" t="n">
        <f aca="false">Двигатели!B$4</f>
        <v>10</v>
      </c>
      <c r="G10" s="5" t="n">
        <f aca="false">Двигатели!C$4</f>
        <v>20</v>
      </c>
      <c r="H10" s="1" t="str">
        <f aca="false">Орудия!A$2</f>
        <v>HRP "Зевс"</v>
      </c>
      <c r="I10" s="1" t="str">
        <f aca="false">Орудия!B$2</f>
        <v>Кристалл</v>
      </c>
      <c r="J10" s="1" t="n">
        <f aca="false">Орудия!C$2</f>
        <v>10</v>
      </c>
      <c r="K10" s="1" t="n">
        <f aca="false">Орудия!D$2</f>
        <v>5</v>
      </c>
      <c r="L10" s="5" t="str">
        <f aca="false">Орудия!E$2</f>
        <v>15/25'</v>
      </c>
      <c r="M10" s="5" t="n">
        <f aca="false">B10-F10-J10</f>
        <v>0</v>
      </c>
      <c r="N10" s="5" t="n">
        <f aca="false">G10-D10-K10</f>
        <v>7</v>
      </c>
    </row>
    <row r="11" customFormat="false" ht="12.8" hidden="false" customHeight="false" outlineLevel="0" collapsed="false">
      <c r="A11" s="5" t="str">
        <f aca="false">Генераторы!A$2</f>
        <v>SG-2KT</v>
      </c>
      <c r="B11" s="5" t="n">
        <f aca="false">Генераторы!B$2</f>
        <v>10</v>
      </c>
      <c r="C11" s="5" t="str">
        <f aca="false">Генераторы!C$2</f>
        <v>3+</v>
      </c>
      <c r="D11" s="5" t="n">
        <f aca="false">Генераторы!D$2</f>
        <v>2</v>
      </c>
      <c r="E11" s="5" t="str">
        <f aca="false">Двигатели!A$2</f>
        <v>LQB-S</v>
      </c>
      <c r="F11" s="5" t="n">
        <f aca="false">Двигатели!B$2</f>
        <v>3</v>
      </c>
      <c r="G11" s="5" t="n">
        <f aca="false">Двигатели!C$2</f>
        <v>16</v>
      </c>
      <c r="H11" s="1" t="str">
        <f aca="false">Орудия!A$3</f>
        <v>BT "Молот"</v>
      </c>
      <c r="I11" s="1" t="str">
        <f aca="false">Орудия!B$3</f>
        <v>Болт</v>
      </c>
      <c r="J11" s="1" t="n">
        <f aca="false">Орудия!C$3</f>
        <v>4</v>
      </c>
      <c r="K11" s="1" t="n">
        <f aca="false">Орудия!D$3</f>
        <v>4</v>
      </c>
      <c r="L11" s="5" t="str">
        <f aca="false">Орудия!E$3</f>
        <v>12/24'</v>
      </c>
      <c r="M11" s="5" t="n">
        <f aca="false">B11-F11-J11</f>
        <v>3</v>
      </c>
      <c r="N11" s="5" t="n">
        <f aca="false">G11-D11-K11</f>
        <v>10</v>
      </c>
    </row>
    <row r="12" customFormat="false" ht="12.8" hidden="false" customHeight="false" outlineLevel="0" collapsed="false">
      <c r="A12" s="5" t="str">
        <f aca="false">Генераторы!A$3</f>
        <v>SG-3KT</v>
      </c>
      <c r="B12" s="5" t="n">
        <f aca="false">Генераторы!B$3</f>
        <v>15</v>
      </c>
      <c r="C12" s="5" t="str">
        <f aca="false">Генераторы!C$3</f>
        <v>3+</v>
      </c>
      <c r="D12" s="5" t="n">
        <f aca="false">Генераторы!D$3</f>
        <v>3</v>
      </c>
      <c r="E12" s="5" t="str">
        <f aca="false">Двигатели!A$2</f>
        <v>LQB-S</v>
      </c>
      <c r="F12" s="5" t="n">
        <f aca="false">Двигатели!B$2</f>
        <v>3</v>
      </c>
      <c r="G12" s="5" t="n">
        <f aca="false">Двигатели!C$2</f>
        <v>16</v>
      </c>
      <c r="H12" s="1" t="str">
        <f aca="false">Орудия!A$3</f>
        <v>BT "Молот"</v>
      </c>
      <c r="I12" s="1" t="str">
        <f aca="false">Орудия!B$3</f>
        <v>Болт</v>
      </c>
      <c r="J12" s="1" t="n">
        <f aca="false">Орудия!C$3</f>
        <v>4</v>
      </c>
      <c r="K12" s="1" t="n">
        <f aca="false">Орудия!D$3</f>
        <v>4</v>
      </c>
      <c r="L12" s="5" t="str">
        <f aca="false">Орудия!E$3</f>
        <v>12/24'</v>
      </c>
      <c r="M12" s="5" t="n">
        <f aca="false">B12-F12-J12</f>
        <v>8</v>
      </c>
      <c r="N12" s="5" t="n">
        <f aca="false">G12-D12-K12</f>
        <v>9</v>
      </c>
    </row>
    <row r="13" customFormat="false" ht="12.8" hidden="false" customHeight="false" outlineLevel="0" collapsed="false">
      <c r="A13" s="5" t="str">
        <f aca="false">Генераторы!A$4</f>
        <v>SG-8KT</v>
      </c>
      <c r="B13" s="5" t="n">
        <f aca="false">Генераторы!B$4</f>
        <v>20</v>
      </c>
      <c r="C13" s="5" t="str">
        <f aca="false">Генераторы!C$4</f>
        <v>4+</v>
      </c>
      <c r="D13" s="5" t="n">
        <f aca="false">Генераторы!D$4</f>
        <v>8</v>
      </c>
      <c r="E13" s="5" t="str">
        <f aca="false">Двигатели!A$2</f>
        <v>LQB-S</v>
      </c>
      <c r="F13" s="5" t="n">
        <f aca="false">Двигатели!B$2</f>
        <v>3</v>
      </c>
      <c r="G13" s="5" t="n">
        <f aca="false">Двигатели!C$2</f>
        <v>16</v>
      </c>
      <c r="H13" s="1" t="str">
        <f aca="false">Орудия!A$3</f>
        <v>BT "Молот"</v>
      </c>
      <c r="I13" s="1" t="str">
        <f aca="false">Орудия!B$3</f>
        <v>Болт</v>
      </c>
      <c r="J13" s="1" t="n">
        <f aca="false">Орудия!C$3</f>
        <v>4</v>
      </c>
      <c r="K13" s="1" t="n">
        <f aca="false">Орудия!D$3</f>
        <v>4</v>
      </c>
      <c r="L13" s="5" t="str">
        <f aca="false">Орудия!E$3</f>
        <v>12/24'</v>
      </c>
      <c r="M13" s="5" t="n">
        <f aca="false">B13-F13-J13</f>
        <v>13</v>
      </c>
      <c r="N13" s="5" t="n">
        <f aca="false">G13-D13-K13</f>
        <v>4</v>
      </c>
    </row>
    <row r="14" customFormat="false" ht="12.8" hidden="false" customHeight="false" outlineLevel="0" collapsed="false">
      <c r="A14" s="5" t="str">
        <f aca="false">Генераторы!A$2</f>
        <v>SG-2KT</v>
      </c>
      <c r="B14" s="5" t="n">
        <f aca="false">Генераторы!B$2</f>
        <v>10</v>
      </c>
      <c r="C14" s="5" t="str">
        <f aca="false">Генераторы!C$2</f>
        <v>3+</v>
      </c>
      <c r="D14" s="5" t="n">
        <f aca="false">Генераторы!D$2</f>
        <v>2</v>
      </c>
      <c r="E14" s="5" t="str">
        <f aca="false">Двигатели!A$3</f>
        <v>LQB-M</v>
      </c>
      <c r="F14" s="5" t="n">
        <f aca="false">Двигатели!B$3</f>
        <v>6</v>
      </c>
      <c r="G14" s="5" t="n">
        <f aca="false">Двигатели!C$3</f>
        <v>18</v>
      </c>
      <c r="H14" s="1" t="str">
        <f aca="false">Орудия!A$3</f>
        <v>BT "Молот"</v>
      </c>
      <c r="I14" s="1" t="str">
        <f aca="false">Орудия!B$3</f>
        <v>Болт</v>
      </c>
      <c r="J14" s="1" t="n">
        <f aca="false">Орудия!C$3</f>
        <v>4</v>
      </c>
      <c r="K14" s="1" t="n">
        <f aca="false">Орудия!D$3</f>
        <v>4</v>
      </c>
      <c r="L14" s="5" t="str">
        <f aca="false">Орудия!E$3</f>
        <v>12/24'</v>
      </c>
      <c r="M14" s="5" t="n">
        <f aca="false">B14-F14-J14</f>
        <v>0</v>
      </c>
      <c r="N14" s="5" t="n">
        <f aca="false">G14-D14-K14</f>
        <v>12</v>
      </c>
    </row>
    <row r="15" customFormat="false" ht="12.8" hidden="false" customHeight="false" outlineLevel="0" collapsed="false">
      <c r="A15" s="5" t="str">
        <f aca="false">Генераторы!A$3</f>
        <v>SG-3KT</v>
      </c>
      <c r="B15" s="5" t="n">
        <f aca="false">Генераторы!B$3</f>
        <v>15</v>
      </c>
      <c r="C15" s="5" t="str">
        <f aca="false">Генераторы!C$3</f>
        <v>3+</v>
      </c>
      <c r="D15" s="5" t="n">
        <f aca="false">Генераторы!D$3</f>
        <v>3</v>
      </c>
      <c r="E15" s="5" t="str">
        <f aca="false">Двигатели!A$3</f>
        <v>LQB-M</v>
      </c>
      <c r="F15" s="5" t="n">
        <f aca="false">Двигатели!B$3</f>
        <v>6</v>
      </c>
      <c r="G15" s="5" t="n">
        <f aca="false">Двигатели!C$3</f>
        <v>18</v>
      </c>
      <c r="H15" s="1" t="str">
        <f aca="false">Орудия!A$3</f>
        <v>BT "Молот"</v>
      </c>
      <c r="I15" s="1" t="str">
        <f aca="false">Орудия!B$3</f>
        <v>Болт</v>
      </c>
      <c r="J15" s="1" t="n">
        <f aca="false">Орудия!C$3</f>
        <v>4</v>
      </c>
      <c r="K15" s="1" t="n">
        <f aca="false">Орудия!D$3</f>
        <v>4</v>
      </c>
      <c r="L15" s="5" t="str">
        <f aca="false">Орудия!E$3</f>
        <v>12/24'</v>
      </c>
      <c r="M15" s="5" t="n">
        <f aca="false">B15-F15-J15</f>
        <v>5</v>
      </c>
      <c r="N15" s="5" t="n">
        <f aca="false">G15-D15-K15</f>
        <v>11</v>
      </c>
    </row>
    <row r="16" customFormat="false" ht="12.8" hidden="false" customHeight="false" outlineLevel="0" collapsed="false">
      <c r="A16" s="5" t="str">
        <f aca="false">Генераторы!A$4</f>
        <v>SG-8KT</v>
      </c>
      <c r="B16" s="5" t="n">
        <f aca="false">Генераторы!B$4</f>
        <v>20</v>
      </c>
      <c r="C16" s="5" t="str">
        <f aca="false">Генераторы!C$4</f>
        <v>4+</v>
      </c>
      <c r="D16" s="5" t="n">
        <f aca="false">Генераторы!D$4</f>
        <v>8</v>
      </c>
      <c r="E16" s="5" t="str">
        <f aca="false">Двигатели!A$3</f>
        <v>LQB-M</v>
      </c>
      <c r="F16" s="5" t="n">
        <f aca="false">Двигатели!B$3</f>
        <v>6</v>
      </c>
      <c r="G16" s="5" t="n">
        <f aca="false">Двигатели!C$3</f>
        <v>18</v>
      </c>
      <c r="H16" s="1" t="str">
        <f aca="false">Орудия!A$3</f>
        <v>BT "Молот"</v>
      </c>
      <c r="I16" s="1" t="str">
        <f aca="false">Орудия!B$3</f>
        <v>Болт</v>
      </c>
      <c r="J16" s="1" t="n">
        <f aca="false">Орудия!C$3</f>
        <v>4</v>
      </c>
      <c r="K16" s="1" t="n">
        <f aca="false">Орудия!D$3</f>
        <v>4</v>
      </c>
      <c r="L16" s="5" t="str">
        <f aca="false">Орудия!E$3</f>
        <v>12/24'</v>
      </c>
      <c r="M16" s="5" t="n">
        <f aca="false">B16-F16-J16</f>
        <v>10</v>
      </c>
      <c r="N16" s="5" t="n">
        <f aca="false">G16-D16-K16</f>
        <v>6</v>
      </c>
    </row>
    <row r="17" customFormat="false" ht="12.8" hidden="false" customHeight="false" outlineLevel="0" collapsed="false">
      <c r="A17" s="5" t="str">
        <f aca="false">Генераторы!A$2</f>
        <v>SG-2KT</v>
      </c>
      <c r="B17" s="5" t="n">
        <f aca="false">Генераторы!B$2</f>
        <v>10</v>
      </c>
      <c r="C17" s="5" t="str">
        <f aca="false">Генераторы!C$2</f>
        <v>3+</v>
      </c>
      <c r="D17" s="5" t="n">
        <f aca="false">Генераторы!D$2</f>
        <v>2</v>
      </c>
      <c r="E17" s="5" t="str">
        <f aca="false">Двигатели!A$4</f>
        <v>LQB-L</v>
      </c>
      <c r="F17" s="5" t="n">
        <f aca="false">Двигатели!B$4</f>
        <v>10</v>
      </c>
      <c r="G17" s="5" t="n">
        <f aca="false">Двигатели!C$4</f>
        <v>20</v>
      </c>
      <c r="H17" s="1" t="str">
        <f aca="false">Орудия!A$3</f>
        <v>BT "Молот"</v>
      </c>
      <c r="I17" s="1" t="str">
        <f aca="false">Орудия!B$3</f>
        <v>Болт</v>
      </c>
      <c r="J17" s="1" t="n">
        <f aca="false">Орудия!C$3</f>
        <v>4</v>
      </c>
      <c r="K17" s="1" t="n">
        <f aca="false">Орудия!D$3</f>
        <v>4</v>
      </c>
      <c r="L17" s="5" t="str">
        <f aca="false">Орудия!E$3</f>
        <v>12/24'</v>
      </c>
      <c r="M17" s="5" t="n">
        <f aca="false">B17-F17-J17</f>
        <v>-4</v>
      </c>
      <c r="N17" s="5" t="n">
        <f aca="false">G17-D17-K17</f>
        <v>14</v>
      </c>
    </row>
    <row r="18" customFormat="false" ht="12.8" hidden="false" customHeight="false" outlineLevel="0" collapsed="false">
      <c r="A18" s="5" t="str">
        <f aca="false">Генераторы!A$3</f>
        <v>SG-3KT</v>
      </c>
      <c r="B18" s="5" t="n">
        <f aca="false">Генераторы!B$3</f>
        <v>15</v>
      </c>
      <c r="C18" s="5" t="str">
        <f aca="false">Генераторы!C$3</f>
        <v>3+</v>
      </c>
      <c r="D18" s="5" t="n">
        <f aca="false">Генераторы!D$3</f>
        <v>3</v>
      </c>
      <c r="E18" s="5" t="str">
        <f aca="false">Двигатели!A$4</f>
        <v>LQB-L</v>
      </c>
      <c r="F18" s="5" t="n">
        <f aca="false">Двигатели!B$4</f>
        <v>10</v>
      </c>
      <c r="G18" s="5" t="n">
        <f aca="false">Двигатели!C$4</f>
        <v>20</v>
      </c>
      <c r="H18" s="1" t="str">
        <f aca="false">Орудия!A$3</f>
        <v>BT "Молот"</v>
      </c>
      <c r="I18" s="1" t="str">
        <f aca="false">Орудия!B$3</f>
        <v>Болт</v>
      </c>
      <c r="J18" s="1" t="n">
        <f aca="false">Орудия!C$3</f>
        <v>4</v>
      </c>
      <c r="K18" s="1" t="n">
        <f aca="false">Орудия!D$3</f>
        <v>4</v>
      </c>
      <c r="L18" s="5" t="str">
        <f aca="false">Орудия!E$3</f>
        <v>12/24'</v>
      </c>
      <c r="M18" s="5" t="n">
        <f aca="false">B18-F18-J18</f>
        <v>1</v>
      </c>
      <c r="N18" s="5" t="n">
        <f aca="false">G18-D18-K18</f>
        <v>13</v>
      </c>
    </row>
    <row r="19" customFormat="false" ht="12.8" hidden="false" customHeight="false" outlineLevel="0" collapsed="false">
      <c r="A19" s="5" t="str">
        <f aca="false">Генераторы!A$4</f>
        <v>SG-8KT</v>
      </c>
      <c r="B19" s="5" t="n">
        <f aca="false">Генераторы!B$4</f>
        <v>20</v>
      </c>
      <c r="C19" s="5" t="str">
        <f aca="false">Генераторы!C$4</f>
        <v>4+</v>
      </c>
      <c r="D19" s="5" t="n">
        <f aca="false">Генераторы!D$4</f>
        <v>8</v>
      </c>
      <c r="E19" s="5" t="str">
        <f aca="false">Двигатели!A$4</f>
        <v>LQB-L</v>
      </c>
      <c r="F19" s="5" t="n">
        <f aca="false">Двигатели!B$4</f>
        <v>10</v>
      </c>
      <c r="G19" s="5" t="n">
        <f aca="false">Двигатели!C$4</f>
        <v>20</v>
      </c>
      <c r="H19" s="1" t="str">
        <f aca="false">Орудия!A$3</f>
        <v>BT "Молот"</v>
      </c>
      <c r="I19" s="1" t="str">
        <f aca="false">Орудия!B$3</f>
        <v>Болт</v>
      </c>
      <c r="J19" s="1" t="n">
        <f aca="false">Орудия!C$3</f>
        <v>4</v>
      </c>
      <c r="K19" s="1" t="n">
        <f aca="false">Орудия!D$3</f>
        <v>4</v>
      </c>
      <c r="L19" s="5" t="str">
        <f aca="false">Орудия!E$3</f>
        <v>12/24'</v>
      </c>
      <c r="M19" s="5" t="n">
        <f aca="false">B19-F19-J19</f>
        <v>6</v>
      </c>
      <c r="N19" s="5" t="n">
        <f aca="false">G19-D19-K19</f>
        <v>8</v>
      </c>
    </row>
    <row r="20" customFormat="false" ht="12.8" hidden="false" customHeight="false" outlineLevel="0" collapsed="false">
      <c r="A20" s="5" t="str">
        <f aca="false">Генераторы!A$2</f>
        <v>SG-2KT</v>
      </c>
      <c r="B20" s="5" t="n">
        <f aca="false">Генераторы!B$2</f>
        <v>10</v>
      </c>
      <c r="C20" s="5" t="str">
        <f aca="false">Генераторы!C$2</f>
        <v>3+</v>
      </c>
      <c r="D20" s="5" t="n">
        <f aca="false">Генераторы!D$2</f>
        <v>2</v>
      </c>
      <c r="E20" s="5" t="str">
        <f aca="false">Двигатели!A$2</f>
        <v>LQB-S</v>
      </c>
      <c r="F20" s="5" t="n">
        <f aca="false">Двигатели!B$2</f>
        <v>3</v>
      </c>
      <c r="G20" s="5" t="n">
        <f aca="false">Двигатели!C$2</f>
        <v>16</v>
      </c>
      <c r="H20" s="1" t="str">
        <f aca="false">Орудия!A$4</f>
        <v>MT-M "Орган"</v>
      </c>
      <c r="I20" s="1" t="str">
        <f aca="false">Орудия!B$4</f>
        <v>ракета</v>
      </c>
      <c r="J20" s="1" t="n">
        <f aca="false">Орудия!C$4</f>
        <v>3</v>
      </c>
      <c r="K20" s="1" t="n">
        <f aca="false">Орудия!D$4</f>
        <v>4</v>
      </c>
      <c r="L20" s="5" t="str">
        <f aca="false">Орудия!E$4</f>
        <v>8/18'</v>
      </c>
      <c r="M20" s="5" t="n">
        <f aca="false">B20-F20-J20</f>
        <v>4</v>
      </c>
      <c r="N20" s="5" t="n">
        <f aca="false">G20-D20-K20</f>
        <v>10</v>
      </c>
    </row>
    <row r="21" customFormat="false" ht="12.8" hidden="false" customHeight="false" outlineLevel="0" collapsed="false">
      <c r="A21" s="5" t="str">
        <f aca="false">Генераторы!A$3</f>
        <v>SG-3KT</v>
      </c>
      <c r="B21" s="5" t="n">
        <f aca="false">Генераторы!B$3</f>
        <v>15</v>
      </c>
      <c r="C21" s="5" t="str">
        <f aca="false">Генераторы!C$3</f>
        <v>3+</v>
      </c>
      <c r="D21" s="5" t="n">
        <f aca="false">Генераторы!D$3</f>
        <v>3</v>
      </c>
      <c r="E21" s="5" t="str">
        <f aca="false">Двигатели!A$2</f>
        <v>LQB-S</v>
      </c>
      <c r="F21" s="5" t="n">
        <f aca="false">Двигатели!B$2</f>
        <v>3</v>
      </c>
      <c r="G21" s="5" t="n">
        <f aca="false">Двигатели!C$2</f>
        <v>16</v>
      </c>
      <c r="H21" s="1" t="str">
        <f aca="false">Орудия!A$4</f>
        <v>MT-M "Орган"</v>
      </c>
      <c r="I21" s="1" t="str">
        <f aca="false">Орудия!B$4</f>
        <v>ракета</v>
      </c>
      <c r="J21" s="1" t="n">
        <f aca="false">Орудия!C$4</f>
        <v>3</v>
      </c>
      <c r="K21" s="1" t="n">
        <f aca="false">Орудия!D$4</f>
        <v>4</v>
      </c>
      <c r="L21" s="5" t="str">
        <f aca="false">Орудия!E$4</f>
        <v>8/18'</v>
      </c>
      <c r="M21" s="5" t="n">
        <f aca="false">B21-F21-J21</f>
        <v>9</v>
      </c>
      <c r="N21" s="5" t="n">
        <f aca="false">G21-D21-K21</f>
        <v>9</v>
      </c>
    </row>
    <row r="22" customFormat="false" ht="12.8" hidden="false" customHeight="false" outlineLevel="0" collapsed="false">
      <c r="A22" s="5" t="str">
        <f aca="false">Генераторы!A$4</f>
        <v>SG-8KT</v>
      </c>
      <c r="B22" s="5" t="n">
        <f aca="false">Генераторы!B$4</f>
        <v>20</v>
      </c>
      <c r="C22" s="5" t="str">
        <f aca="false">Генераторы!C$4</f>
        <v>4+</v>
      </c>
      <c r="D22" s="5" t="n">
        <f aca="false">Генераторы!D$4</f>
        <v>8</v>
      </c>
      <c r="E22" s="5" t="str">
        <f aca="false">Двигатели!A$2</f>
        <v>LQB-S</v>
      </c>
      <c r="F22" s="5" t="n">
        <f aca="false">Двигатели!B$2</f>
        <v>3</v>
      </c>
      <c r="G22" s="5" t="n">
        <f aca="false">Двигатели!C$2</f>
        <v>16</v>
      </c>
      <c r="H22" s="1" t="str">
        <f aca="false">Орудия!A$4</f>
        <v>MT-M "Орган"</v>
      </c>
      <c r="I22" s="1" t="str">
        <f aca="false">Орудия!B$4</f>
        <v>ракета</v>
      </c>
      <c r="J22" s="1" t="n">
        <f aca="false">Орудия!C$4</f>
        <v>3</v>
      </c>
      <c r="K22" s="1" t="n">
        <f aca="false">Орудия!D$4</f>
        <v>4</v>
      </c>
      <c r="L22" s="5" t="str">
        <f aca="false">Орудия!E$4</f>
        <v>8/18'</v>
      </c>
      <c r="M22" s="5" t="n">
        <f aca="false">B22-F22-J22</f>
        <v>14</v>
      </c>
      <c r="N22" s="5" t="n">
        <f aca="false">G22-D22-K22</f>
        <v>4</v>
      </c>
    </row>
    <row r="23" customFormat="false" ht="12.8" hidden="false" customHeight="false" outlineLevel="0" collapsed="false">
      <c r="A23" s="5" t="str">
        <f aca="false">Генераторы!A$2</f>
        <v>SG-2KT</v>
      </c>
      <c r="B23" s="5" t="n">
        <f aca="false">Генераторы!B$2</f>
        <v>10</v>
      </c>
      <c r="C23" s="5" t="str">
        <f aca="false">Генераторы!C$2</f>
        <v>3+</v>
      </c>
      <c r="D23" s="5" t="n">
        <f aca="false">Генераторы!D$2</f>
        <v>2</v>
      </c>
      <c r="E23" s="5" t="str">
        <f aca="false">Двигатели!A$3</f>
        <v>LQB-M</v>
      </c>
      <c r="F23" s="5" t="n">
        <f aca="false">Двигатели!B$3</f>
        <v>6</v>
      </c>
      <c r="G23" s="5" t="n">
        <f aca="false">Двигатели!C$3</f>
        <v>18</v>
      </c>
      <c r="H23" s="1" t="str">
        <f aca="false">Орудия!A$4</f>
        <v>MT-M "Орган"</v>
      </c>
      <c r="I23" s="1" t="str">
        <f aca="false">Орудия!B$4</f>
        <v>ракета</v>
      </c>
      <c r="J23" s="1" t="n">
        <f aca="false">Орудия!C$4</f>
        <v>3</v>
      </c>
      <c r="K23" s="1" t="n">
        <f aca="false">Орудия!D$4</f>
        <v>4</v>
      </c>
      <c r="L23" s="5" t="str">
        <f aca="false">Орудия!E$4</f>
        <v>8/18'</v>
      </c>
      <c r="M23" s="5" t="n">
        <f aca="false">B23-F23-J23</f>
        <v>1</v>
      </c>
      <c r="N23" s="5" t="n">
        <f aca="false">G23-D23-K23</f>
        <v>12</v>
      </c>
    </row>
    <row r="24" customFormat="false" ht="12.8" hidden="false" customHeight="false" outlineLevel="0" collapsed="false">
      <c r="A24" s="5" t="str">
        <f aca="false">Генераторы!A$3</f>
        <v>SG-3KT</v>
      </c>
      <c r="B24" s="5" t="n">
        <f aca="false">Генераторы!B$3</f>
        <v>15</v>
      </c>
      <c r="C24" s="5" t="str">
        <f aca="false">Генераторы!C$3</f>
        <v>3+</v>
      </c>
      <c r="D24" s="5" t="n">
        <f aca="false">Генераторы!D$3</f>
        <v>3</v>
      </c>
      <c r="E24" s="5" t="str">
        <f aca="false">Двигатели!A$3</f>
        <v>LQB-M</v>
      </c>
      <c r="F24" s="5" t="n">
        <f aca="false">Двигатели!B$3</f>
        <v>6</v>
      </c>
      <c r="G24" s="5" t="n">
        <f aca="false">Двигатели!C$3</f>
        <v>18</v>
      </c>
      <c r="H24" s="1" t="str">
        <f aca="false">Орудия!A$4</f>
        <v>MT-M "Орган"</v>
      </c>
      <c r="I24" s="1" t="str">
        <f aca="false">Орудия!B$4</f>
        <v>ракета</v>
      </c>
      <c r="J24" s="1" t="n">
        <f aca="false">Орудия!C$4</f>
        <v>3</v>
      </c>
      <c r="K24" s="1" t="n">
        <f aca="false">Орудия!D$4</f>
        <v>4</v>
      </c>
      <c r="L24" s="5" t="str">
        <f aca="false">Орудия!E$4</f>
        <v>8/18'</v>
      </c>
      <c r="M24" s="5" t="n">
        <f aca="false">B24-F24-J24</f>
        <v>6</v>
      </c>
      <c r="N24" s="5" t="n">
        <f aca="false">G24-D24-K24</f>
        <v>11</v>
      </c>
    </row>
    <row r="25" customFormat="false" ht="12.8" hidden="false" customHeight="false" outlineLevel="0" collapsed="false">
      <c r="A25" s="5" t="str">
        <f aca="false">Генераторы!A$4</f>
        <v>SG-8KT</v>
      </c>
      <c r="B25" s="5" t="n">
        <f aca="false">Генераторы!B$4</f>
        <v>20</v>
      </c>
      <c r="C25" s="5" t="str">
        <f aca="false">Генераторы!C$4</f>
        <v>4+</v>
      </c>
      <c r="D25" s="5" t="n">
        <f aca="false">Генераторы!D$4</f>
        <v>8</v>
      </c>
      <c r="E25" s="5" t="str">
        <f aca="false">Двигатели!A$3</f>
        <v>LQB-M</v>
      </c>
      <c r="F25" s="5" t="n">
        <f aca="false">Двигатели!B$3</f>
        <v>6</v>
      </c>
      <c r="G25" s="5" t="n">
        <f aca="false">Двигатели!C$3</f>
        <v>18</v>
      </c>
      <c r="H25" s="1" t="str">
        <f aca="false">Орудия!A$4</f>
        <v>MT-M "Орган"</v>
      </c>
      <c r="I25" s="1" t="str">
        <f aca="false">Орудия!B$4</f>
        <v>ракета</v>
      </c>
      <c r="J25" s="1" t="n">
        <f aca="false">Орудия!C$4</f>
        <v>3</v>
      </c>
      <c r="K25" s="1" t="n">
        <f aca="false">Орудия!D$4</f>
        <v>4</v>
      </c>
      <c r="L25" s="5" t="str">
        <f aca="false">Орудия!E$4</f>
        <v>8/18'</v>
      </c>
      <c r="M25" s="5" t="n">
        <f aca="false">B25-F25-J25</f>
        <v>11</v>
      </c>
      <c r="N25" s="5" t="n">
        <f aca="false">G25-D25-K25</f>
        <v>6</v>
      </c>
    </row>
    <row r="26" customFormat="false" ht="12.8" hidden="false" customHeight="false" outlineLevel="0" collapsed="false">
      <c r="A26" s="5" t="str">
        <f aca="false">Генераторы!A$2</f>
        <v>SG-2KT</v>
      </c>
      <c r="B26" s="5" t="n">
        <f aca="false">Генераторы!B$2</f>
        <v>10</v>
      </c>
      <c r="C26" s="5" t="str">
        <f aca="false">Генераторы!C$2</f>
        <v>3+</v>
      </c>
      <c r="D26" s="5" t="n">
        <f aca="false">Генераторы!D$2</f>
        <v>2</v>
      </c>
      <c r="E26" s="5" t="str">
        <f aca="false">Двигатели!A$4</f>
        <v>LQB-L</v>
      </c>
      <c r="F26" s="5" t="n">
        <f aca="false">Двигатели!B$4</f>
        <v>10</v>
      </c>
      <c r="G26" s="5" t="n">
        <f aca="false">Двигатели!C$4</f>
        <v>20</v>
      </c>
      <c r="H26" s="1" t="str">
        <f aca="false">Орудия!A$4</f>
        <v>MT-M "Орган"</v>
      </c>
      <c r="I26" s="1" t="str">
        <f aca="false">Орудия!B$4</f>
        <v>ракета</v>
      </c>
      <c r="J26" s="1" t="n">
        <f aca="false">Орудия!C$4</f>
        <v>3</v>
      </c>
      <c r="K26" s="1" t="n">
        <f aca="false">Орудия!D$4</f>
        <v>4</v>
      </c>
      <c r="L26" s="5" t="str">
        <f aca="false">Орудия!E$4</f>
        <v>8/18'</v>
      </c>
      <c r="M26" s="5" t="n">
        <f aca="false">B26-F26-J26</f>
        <v>-3</v>
      </c>
      <c r="N26" s="5" t="n">
        <f aca="false">G26-D26-K26</f>
        <v>14</v>
      </c>
    </row>
    <row r="27" customFormat="false" ht="12.8" hidden="false" customHeight="false" outlineLevel="0" collapsed="false">
      <c r="A27" s="5" t="str">
        <f aca="false">Генераторы!A$3</f>
        <v>SG-3KT</v>
      </c>
      <c r="B27" s="5" t="n">
        <f aca="false">Генераторы!B$3</f>
        <v>15</v>
      </c>
      <c r="C27" s="5" t="str">
        <f aca="false">Генераторы!C$3</f>
        <v>3+</v>
      </c>
      <c r="D27" s="5" t="n">
        <f aca="false">Генераторы!D$3</f>
        <v>3</v>
      </c>
      <c r="E27" s="5" t="str">
        <f aca="false">Двигатели!A$4</f>
        <v>LQB-L</v>
      </c>
      <c r="F27" s="5" t="n">
        <f aca="false">Двигатели!B$4</f>
        <v>10</v>
      </c>
      <c r="G27" s="5" t="n">
        <f aca="false">Двигатели!C$4</f>
        <v>20</v>
      </c>
      <c r="H27" s="1" t="str">
        <f aca="false">Орудия!A$4</f>
        <v>MT-M "Орган"</v>
      </c>
      <c r="I27" s="1" t="str">
        <f aca="false">Орудия!B$4</f>
        <v>ракета</v>
      </c>
      <c r="J27" s="1" t="n">
        <f aca="false">Орудия!C$4</f>
        <v>3</v>
      </c>
      <c r="K27" s="1" t="n">
        <f aca="false">Орудия!D$4</f>
        <v>4</v>
      </c>
      <c r="L27" s="5" t="str">
        <f aca="false">Орудия!E$4</f>
        <v>8/18'</v>
      </c>
      <c r="M27" s="5" t="n">
        <f aca="false">B27-F27-J27</f>
        <v>2</v>
      </c>
      <c r="N27" s="5" t="n">
        <f aca="false">G27-D27-K27</f>
        <v>13</v>
      </c>
    </row>
    <row r="28" customFormat="false" ht="12.8" hidden="false" customHeight="false" outlineLevel="0" collapsed="false">
      <c r="A28" s="5" t="str">
        <f aca="false">Генераторы!A$4</f>
        <v>SG-8KT</v>
      </c>
      <c r="B28" s="5" t="n">
        <f aca="false">Генераторы!B$4</f>
        <v>20</v>
      </c>
      <c r="C28" s="5" t="str">
        <f aca="false">Генераторы!C$4</f>
        <v>4+</v>
      </c>
      <c r="D28" s="5" t="n">
        <f aca="false">Генераторы!D$4</f>
        <v>8</v>
      </c>
      <c r="E28" s="5" t="str">
        <f aca="false">Двигатели!A$4</f>
        <v>LQB-L</v>
      </c>
      <c r="F28" s="5" t="n">
        <f aca="false">Двигатели!B$4</f>
        <v>10</v>
      </c>
      <c r="G28" s="5" t="n">
        <f aca="false">Двигатели!C$4</f>
        <v>20</v>
      </c>
      <c r="H28" s="1" t="str">
        <f aca="false">Орудия!A$4</f>
        <v>MT-M "Орган"</v>
      </c>
      <c r="I28" s="1" t="str">
        <f aca="false">Орудия!B$4</f>
        <v>ракета</v>
      </c>
      <c r="J28" s="1" t="n">
        <f aca="false">Орудия!C$4</f>
        <v>3</v>
      </c>
      <c r="K28" s="1" t="n">
        <f aca="false">Орудия!D$4</f>
        <v>4</v>
      </c>
      <c r="L28" s="5" t="str">
        <f aca="false">Орудия!E$4</f>
        <v>8/18'</v>
      </c>
      <c r="M28" s="5" t="n">
        <f aca="false">B28-F28-J28</f>
        <v>7</v>
      </c>
      <c r="N28" s="5" t="n">
        <f aca="false">G28-D28-K28</f>
        <v>8</v>
      </c>
    </row>
    <row r="29" customFormat="false" ht="12.8" hidden="false" customHeight="false" outlineLevel="0" collapsed="false">
      <c r="A29" s="5" t="str">
        <f aca="false">Генераторы!A$2</f>
        <v>SG-2KT</v>
      </c>
      <c r="B29" s="5" t="n">
        <f aca="false">Генераторы!B$2</f>
        <v>10</v>
      </c>
      <c r="C29" s="5" t="str">
        <f aca="false">Генераторы!C$2</f>
        <v>3+</v>
      </c>
      <c r="D29" s="5" t="n">
        <f aca="false">Генераторы!D$2</f>
        <v>2</v>
      </c>
      <c r="E29" s="5" t="str">
        <f aca="false">Двигатели!A$2</f>
        <v>LQB-S</v>
      </c>
      <c r="F29" s="5" t="n">
        <f aca="false">Двигатели!B$2</f>
        <v>3</v>
      </c>
      <c r="G29" s="5" t="n">
        <f aca="false">Двигатели!C$2</f>
        <v>16</v>
      </c>
      <c r="H29" s="1" t="str">
        <f aca="false">Орудия!A$5</f>
        <v>RP "Рейкастер"</v>
      </c>
      <c r="I29" s="1" t="str">
        <f aca="false">Орудия!B$5</f>
        <v>Кристалл</v>
      </c>
      <c r="J29" s="1" t="n">
        <f aca="false">Орудия!C$5</f>
        <v>4</v>
      </c>
      <c r="K29" s="1" t="n">
        <f aca="false">Орудия!D$5</f>
        <v>4</v>
      </c>
      <c r="L29" s="5" t="str">
        <f aca="false">Орудия!E$5</f>
        <v>8/16'</v>
      </c>
      <c r="M29" s="5" t="n">
        <f aca="false">B29-F29-J29</f>
        <v>3</v>
      </c>
      <c r="N29" s="5" t="n">
        <f aca="false">G29-D29-K29</f>
        <v>10</v>
      </c>
    </row>
    <row r="30" customFormat="false" ht="12.8" hidden="false" customHeight="false" outlineLevel="0" collapsed="false">
      <c r="A30" s="5" t="str">
        <f aca="false">Генераторы!A$3</f>
        <v>SG-3KT</v>
      </c>
      <c r="B30" s="5" t="n">
        <f aca="false">Генераторы!B$3</f>
        <v>15</v>
      </c>
      <c r="C30" s="5" t="str">
        <f aca="false">Генераторы!C$3</f>
        <v>3+</v>
      </c>
      <c r="D30" s="5" t="n">
        <f aca="false">Генераторы!D$3</f>
        <v>3</v>
      </c>
      <c r="E30" s="5" t="str">
        <f aca="false">Двигатели!A$2</f>
        <v>LQB-S</v>
      </c>
      <c r="F30" s="5" t="n">
        <f aca="false">Двигатели!B$2</f>
        <v>3</v>
      </c>
      <c r="G30" s="5" t="n">
        <f aca="false">Двигатели!C$2</f>
        <v>16</v>
      </c>
      <c r="H30" s="1" t="str">
        <f aca="false">Орудия!A$5</f>
        <v>RP "Рейкастер"</v>
      </c>
      <c r="I30" s="1" t="str">
        <f aca="false">Орудия!B$5</f>
        <v>Кристалл</v>
      </c>
      <c r="J30" s="1" t="n">
        <f aca="false">Орудия!C$5</f>
        <v>4</v>
      </c>
      <c r="K30" s="1" t="n">
        <f aca="false">Орудия!D$5</f>
        <v>4</v>
      </c>
      <c r="L30" s="5" t="str">
        <f aca="false">Орудия!E$5</f>
        <v>8/16'</v>
      </c>
      <c r="M30" s="5" t="n">
        <f aca="false">B30-F30-J30</f>
        <v>8</v>
      </c>
      <c r="N30" s="5" t="n">
        <f aca="false">G30-D30-K30</f>
        <v>9</v>
      </c>
    </row>
    <row r="31" customFormat="false" ht="12.8" hidden="false" customHeight="false" outlineLevel="0" collapsed="false">
      <c r="A31" s="5" t="str">
        <f aca="false">Генераторы!A$4</f>
        <v>SG-8KT</v>
      </c>
      <c r="B31" s="5" t="n">
        <f aca="false">Генераторы!B$4</f>
        <v>20</v>
      </c>
      <c r="C31" s="5" t="str">
        <f aca="false">Генераторы!C$4</f>
        <v>4+</v>
      </c>
      <c r="D31" s="5" t="n">
        <f aca="false">Генераторы!D$4</f>
        <v>8</v>
      </c>
      <c r="E31" s="5" t="str">
        <f aca="false">Двигатели!A$2</f>
        <v>LQB-S</v>
      </c>
      <c r="F31" s="5" t="n">
        <f aca="false">Двигатели!B$2</f>
        <v>3</v>
      </c>
      <c r="G31" s="5" t="n">
        <f aca="false">Двигатели!C$2</f>
        <v>16</v>
      </c>
      <c r="H31" s="1" t="str">
        <f aca="false">Орудия!A$5</f>
        <v>RP "Рейкастер"</v>
      </c>
      <c r="I31" s="1" t="str">
        <f aca="false">Орудия!B$5</f>
        <v>Кристалл</v>
      </c>
      <c r="J31" s="1" t="n">
        <f aca="false">Орудия!C$5</f>
        <v>4</v>
      </c>
      <c r="K31" s="1" t="n">
        <f aca="false">Орудия!D$5</f>
        <v>4</v>
      </c>
      <c r="L31" s="5" t="str">
        <f aca="false">Орудия!E$5</f>
        <v>8/16'</v>
      </c>
      <c r="M31" s="5" t="n">
        <f aca="false">B31-F31-J31</f>
        <v>13</v>
      </c>
      <c r="N31" s="5" t="n">
        <f aca="false">G31-D31-K31</f>
        <v>4</v>
      </c>
    </row>
    <row r="32" customFormat="false" ht="12.8" hidden="false" customHeight="false" outlineLevel="0" collapsed="false">
      <c r="A32" s="5" t="str">
        <f aca="false">Генераторы!A$2</f>
        <v>SG-2KT</v>
      </c>
      <c r="B32" s="5" t="n">
        <f aca="false">Генераторы!B$2</f>
        <v>10</v>
      </c>
      <c r="C32" s="5" t="str">
        <f aca="false">Генераторы!C$2</f>
        <v>3+</v>
      </c>
      <c r="D32" s="5" t="n">
        <f aca="false">Генераторы!D$2</f>
        <v>2</v>
      </c>
      <c r="E32" s="5" t="str">
        <f aca="false">Двигатели!A$3</f>
        <v>LQB-M</v>
      </c>
      <c r="F32" s="5" t="n">
        <f aca="false">Двигатели!B$3</f>
        <v>6</v>
      </c>
      <c r="G32" s="5" t="n">
        <f aca="false">Двигатели!C$3</f>
        <v>18</v>
      </c>
      <c r="H32" s="1" t="str">
        <f aca="false">Орудия!A$5</f>
        <v>RP "Рейкастер"</v>
      </c>
      <c r="I32" s="1" t="str">
        <f aca="false">Орудия!B$5</f>
        <v>Кристалл</v>
      </c>
      <c r="J32" s="1" t="n">
        <f aca="false">Орудия!C$5</f>
        <v>4</v>
      </c>
      <c r="K32" s="1" t="n">
        <f aca="false">Орудия!D$5</f>
        <v>4</v>
      </c>
      <c r="L32" s="5" t="str">
        <f aca="false">Орудия!E$5</f>
        <v>8/16'</v>
      </c>
      <c r="M32" s="5" t="n">
        <f aca="false">B32-F32-J32</f>
        <v>0</v>
      </c>
      <c r="N32" s="5" t="n">
        <f aca="false">G32-D32-K32</f>
        <v>12</v>
      </c>
    </row>
    <row r="33" customFormat="false" ht="12.8" hidden="false" customHeight="false" outlineLevel="0" collapsed="false">
      <c r="A33" s="5" t="str">
        <f aca="false">Генераторы!A$3</f>
        <v>SG-3KT</v>
      </c>
      <c r="B33" s="5" t="n">
        <f aca="false">Генераторы!B$3</f>
        <v>15</v>
      </c>
      <c r="C33" s="5" t="str">
        <f aca="false">Генераторы!C$3</f>
        <v>3+</v>
      </c>
      <c r="D33" s="5" t="n">
        <f aca="false">Генераторы!D$3</f>
        <v>3</v>
      </c>
      <c r="E33" s="5" t="str">
        <f aca="false">Двигатели!A$3</f>
        <v>LQB-M</v>
      </c>
      <c r="F33" s="5" t="n">
        <f aca="false">Двигатели!B$3</f>
        <v>6</v>
      </c>
      <c r="G33" s="5" t="n">
        <f aca="false">Двигатели!C$3</f>
        <v>18</v>
      </c>
      <c r="H33" s="1" t="str">
        <f aca="false">Орудия!A$5</f>
        <v>RP "Рейкастер"</v>
      </c>
      <c r="I33" s="1" t="str">
        <f aca="false">Орудия!B$5</f>
        <v>Кристалл</v>
      </c>
      <c r="J33" s="1" t="n">
        <f aca="false">Орудия!C$5</f>
        <v>4</v>
      </c>
      <c r="K33" s="1" t="n">
        <f aca="false">Орудия!D$5</f>
        <v>4</v>
      </c>
      <c r="L33" s="5" t="str">
        <f aca="false">Орудия!E$5</f>
        <v>8/16'</v>
      </c>
      <c r="M33" s="5" t="n">
        <f aca="false">B33-F33-J33</f>
        <v>5</v>
      </c>
      <c r="N33" s="5" t="n">
        <f aca="false">G33-D33-K33</f>
        <v>11</v>
      </c>
    </row>
    <row r="34" customFormat="false" ht="12.8" hidden="false" customHeight="false" outlineLevel="0" collapsed="false">
      <c r="A34" s="5" t="str">
        <f aca="false">Генераторы!A$4</f>
        <v>SG-8KT</v>
      </c>
      <c r="B34" s="5" t="n">
        <f aca="false">Генераторы!B$4</f>
        <v>20</v>
      </c>
      <c r="C34" s="5" t="str">
        <f aca="false">Генераторы!C$4</f>
        <v>4+</v>
      </c>
      <c r="D34" s="5" t="n">
        <f aca="false">Генераторы!D$4</f>
        <v>8</v>
      </c>
      <c r="E34" s="5" t="str">
        <f aca="false">Двигатели!A$3</f>
        <v>LQB-M</v>
      </c>
      <c r="F34" s="5" t="n">
        <f aca="false">Двигатели!B$3</f>
        <v>6</v>
      </c>
      <c r="G34" s="5" t="n">
        <f aca="false">Двигатели!C$3</f>
        <v>18</v>
      </c>
      <c r="H34" s="1" t="str">
        <f aca="false">Орудия!A$5</f>
        <v>RP "Рейкастер"</v>
      </c>
      <c r="I34" s="1" t="str">
        <f aca="false">Орудия!B$5</f>
        <v>Кристалл</v>
      </c>
      <c r="J34" s="1" t="n">
        <f aca="false">Орудия!C$5</f>
        <v>4</v>
      </c>
      <c r="K34" s="1" t="n">
        <f aca="false">Орудия!D$5</f>
        <v>4</v>
      </c>
      <c r="L34" s="5" t="str">
        <f aca="false">Орудия!E$5</f>
        <v>8/16'</v>
      </c>
      <c r="M34" s="5" t="n">
        <f aca="false">B34-F34-J34</f>
        <v>10</v>
      </c>
      <c r="N34" s="5" t="n">
        <f aca="false">G34-D34-K34</f>
        <v>6</v>
      </c>
    </row>
    <row r="35" customFormat="false" ht="12.8" hidden="false" customHeight="false" outlineLevel="0" collapsed="false">
      <c r="A35" s="5" t="str">
        <f aca="false">Генераторы!A$2</f>
        <v>SG-2KT</v>
      </c>
      <c r="B35" s="5" t="n">
        <f aca="false">Генераторы!B$2</f>
        <v>10</v>
      </c>
      <c r="C35" s="5" t="str">
        <f aca="false">Генераторы!C$2</f>
        <v>3+</v>
      </c>
      <c r="D35" s="5" t="n">
        <f aca="false">Генераторы!D$2</f>
        <v>2</v>
      </c>
      <c r="E35" s="5" t="str">
        <f aca="false">Двигатели!A$4</f>
        <v>LQB-L</v>
      </c>
      <c r="F35" s="5" t="n">
        <f aca="false">Двигатели!B$4</f>
        <v>10</v>
      </c>
      <c r="G35" s="5" t="n">
        <f aca="false">Двигатели!C$4</f>
        <v>20</v>
      </c>
      <c r="H35" s="1" t="str">
        <f aca="false">Орудия!A$5</f>
        <v>RP "Рейкастер"</v>
      </c>
      <c r="I35" s="1" t="str">
        <f aca="false">Орудия!B$5</f>
        <v>Кристалл</v>
      </c>
      <c r="J35" s="1" t="n">
        <f aca="false">Орудия!C$5</f>
        <v>4</v>
      </c>
      <c r="K35" s="1" t="n">
        <f aca="false">Орудия!D$5</f>
        <v>4</v>
      </c>
      <c r="L35" s="5" t="str">
        <f aca="false">Орудия!E$5</f>
        <v>8/16'</v>
      </c>
      <c r="M35" s="5" t="n">
        <f aca="false">B35-F35-J35</f>
        <v>-4</v>
      </c>
      <c r="N35" s="5" t="n">
        <f aca="false">G35-D35-K35</f>
        <v>14</v>
      </c>
    </row>
    <row r="36" customFormat="false" ht="12.8" hidden="false" customHeight="false" outlineLevel="0" collapsed="false">
      <c r="A36" s="5" t="str">
        <f aca="false">Генераторы!A$3</f>
        <v>SG-3KT</v>
      </c>
      <c r="B36" s="5" t="n">
        <f aca="false">Генераторы!B$3</f>
        <v>15</v>
      </c>
      <c r="C36" s="5" t="str">
        <f aca="false">Генераторы!C$3</f>
        <v>3+</v>
      </c>
      <c r="D36" s="5" t="n">
        <f aca="false">Генераторы!D$3</f>
        <v>3</v>
      </c>
      <c r="E36" s="5" t="str">
        <f aca="false">Двигатели!A$4</f>
        <v>LQB-L</v>
      </c>
      <c r="F36" s="5" t="n">
        <f aca="false">Двигатели!B$4</f>
        <v>10</v>
      </c>
      <c r="G36" s="5" t="n">
        <f aca="false">Двигатели!C$4</f>
        <v>20</v>
      </c>
      <c r="H36" s="1" t="str">
        <f aca="false">Орудия!A$5</f>
        <v>RP "Рейкастер"</v>
      </c>
      <c r="I36" s="1" t="str">
        <f aca="false">Орудия!B$5</f>
        <v>Кристалл</v>
      </c>
      <c r="J36" s="1" t="n">
        <f aca="false">Орудия!C$5</f>
        <v>4</v>
      </c>
      <c r="K36" s="1" t="n">
        <f aca="false">Орудия!D$5</f>
        <v>4</v>
      </c>
      <c r="L36" s="5" t="str">
        <f aca="false">Орудия!E$5</f>
        <v>8/16'</v>
      </c>
      <c r="M36" s="5" t="n">
        <f aca="false">B36-F36-J36</f>
        <v>1</v>
      </c>
      <c r="N36" s="5" t="n">
        <f aca="false">G36-D36-K36</f>
        <v>13</v>
      </c>
    </row>
    <row r="37" customFormat="false" ht="12.8" hidden="false" customHeight="false" outlineLevel="0" collapsed="false">
      <c r="A37" s="5" t="str">
        <f aca="false">Генераторы!A$4</f>
        <v>SG-8KT</v>
      </c>
      <c r="B37" s="5" t="n">
        <f aca="false">Генераторы!B$4</f>
        <v>20</v>
      </c>
      <c r="C37" s="5" t="str">
        <f aca="false">Генераторы!C$4</f>
        <v>4+</v>
      </c>
      <c r="D37" s="5" t="n">
        <f aca="false">Генераторы!D$4</f>
        <v>8</v>
      </c>
      <c r="E37" s="5" t="str">
        <f aca="false">Двигатели!A$4</f>
        <v>LQB-L</v>
      </c>
      <c r="F37" s="5" t="n">
        <f aca="false">Двигатели!B$4</f>
        <v>10</v>
      </c>
      <c r="G37" s="5" t="n">
        <f aca="false">Двигатели!C$4</f>
        <v>20</v>
      </c>
      <c r="H37" s="1" t="str">
        <f aca="false">Орудия!A$5</f>
        <v>RP "Рейкастер"</v>
      </c>
      <c r="I37" s="1" t="str">
        <f aca="false">Орудия!B$5</f>
        <v>Кристалл</v>
      </c>
      <c r="J37" s="1" t="n">
        <f aca="false">Орудия!C$5</f>
        <v>4</v>
      </c>
      <c r="K37" s="1" t="n">
        <f aca="false">Орудия!D$5</f>
        <v>4</v>
      </c>
      <c r="L37" s="5" t="str">
        <f aca="false">Орудия!E$5</f>
        <v>8/16'</v>
      </c>
      <c r="M37" s="5" t="n">
        <f aca="false">B37-F37-J37</f>
        <v>6</v>
      </c>
      <c r="N37" s="5" t="n">
        <f aca="false">G37-D37-K37</f>
        <v>8</v>
      </c>
    </row>
    <row r="38" customFormat="false" ht="12.8" hidden="false" customHeight="false" outlineLevel="0" collapsed="false">
      <c r="A38" s="5" t="str">
        <f aca="false">Генераторы!A$2</f>
        <v>SG-2KT</v>
      </c>
      <c r="B38" s="5" t="n">
        <f aca="false">Генераторы!B$2</f>
        <v>10</v>
      </c>
      <c r="C38" s="5" t="str">
        <f aca="false">Генераторы!C$2</f>
        <v>3+</v>
      </c>
      <c r="D38" s="5" t="n">
        <f aca="false">Генераторы!D$2</f>
        <v>2</v>
      </c>
      <c r="E38" s="5" t="str">
        <f aca="false">Двигатели!A$2</f>
        <v>LQB-S</v>
      </c>
      <c r="F38" s="5" t="n">
        <f aca="false">Двигатели!B$2</f>
        <v>3</v>
      </c>
      <c r="G38" s="5" t="n">
        <f aca="false">Двигатели!C$2</f>
        <v>16</v>
      </c>
      <c r="H38" s="1" t="str">
        <f aca="false">Орудия!A$6</f>
        <v>HBT "Рубрик"</v>
      </c>
      <c r="I38" s="1" t="str">
        <f aca="false">Орудия!B$6</f>
        <v>тяж. Болт</v>
      </c>
      <c r="J38" s="1" t="n">
        <f aca="false">Орудия!C$6</f>
        <v>10</v>
      </c>
      <c r="K38" s="1" t="n">
        <f aca="false">Орудия!D$6</f>
        <v>5</v>
      </c>
      <c r="L38" s="5" t="str">
        <f aca="false">Орудия!E$6</f>
        <v>18/32'</v>
      </c>
      <c r="M38" s="5" t="n">
        <f aca="false">B38-F38-J38</f>
        <v>-3</v>
      </c>
      <c r="N38" s="5" t="n">
        <f aca="false">G38-D38-K38</f>
        <v>9</v>
      </c>
    </row>
    <row r="39" customFormat="false" ht="12.8" hidden="false" customHeight="false" outlineLevel="0" collapsed="false">
      <c r="A39" s="5" t="str">
        <f aca="false">Генераторы!A$3</f>
        <v>SG-3KT</v>
      </c>
      <c r="B39" s="5" t="n">
        <f aca="false">Генераторы!B$3</f>
        <v>15</v>
      </c>
      <c r="C39" s="5" t="str">
        <f aca="false">Генераторы!C$3</f>
        <v>3+</v>
      </c>
      <c r="D39" s="5" t="n">
        <f aca="false">Генераторы!D$3</f>
        <v>3</v>
      </c>
      <c r="E39" s="5" t="str">
        <f aca="false">Двигатели!A$2</f>
        <v>LQB-S</v>
      </c>
      <c r="F39" s="5" t="n">
        <f aca="false">Двигатели!B$2</f>
        <v>3</v>
      </c>
      <c r="G39" s="5" t="n">
        <f aca="false">Двигатели!C$2</f>
        <v>16</v>
      </c>
      <c r="H39" s="1" t="str">
        <f aca="false">Орудия!A$6</f>
        <v>HBT "Рубрик"</v>
      </c>
      <c r="I39" s="1" t="str">
        <f aca="false">Орудия!B$6</f>
        <v>тяж. Болт</v>
      </c>
      <c r="J39" s="1" t="n">
        <f aca="false">Орудия!C$6</f>
        <v>10</v>
      </c>
      <c r="K39" s="1" t="n">
        <f aca="false">Орудия!D$6</f>
        <v>5</v>
      </c>
      <c r="L39" s="5" t="str">
        <f aca="false">Орудия!E$6</f>
        <v>18/32'</v>
      </c>
      <c r="M39" s="5" t="n">
        <f aca="false">B39-F39-J39</f>
        <v>2</v>
      </c>
      <c r="N39" s="5" t="n">
        <f aca="false">G39-D39-K39</f>
        <v>8</v>
      </c>
    </row>
    <row r="40" customFormat="false" ht="12.8" hidden="false" customHeight="false" outlineLevel="0" collapsed="false">
      <c r="A40" s="5" t="str">
        <f aca="false">Генераторы!A$4</f>
        <v>SG-8KT</v>
      </c>
      <c r="B40" s="5" t="n">
        <f aca="false">Генераторы!B$4</f>
        <v>20</v>
      </c>
      <c r="C40" s="5" t="str">
        <f aca="false">Генераторы!C$4</f>
        <v>4+</v>
      </c>
      <c r="D40" s="5" t="n">
        <f aca="false">Генераторы!D$4</f>
        <v>8</v>
      </c>
      <c r="E40" s="5" t="str">
        <f aca="false">Двигатели!A$2</f>
        <v>LQB-S</v>
      </c>
      <c r="F40" s="5" t="n">
        <f aca="false">Двигатели!B$2</f>
        <v>3</v>
      </c>
      <c r="G40" s="5" t="n">
        <f aca="false">Двигатели!C$2</f>
        <v>16</v>
      </c>
      <c r="H40" s="1" t="str">
        <f aca="false">Орудия!A$6</f>
        <v>HBT "Рубрик"</v>
      </c>
      <c r="I40" s="1" t="str">
        <f aca="false">Орудия!B$6</f>
        <v>тяж. Болт</v>
      </c>
      <c r="J40" s="1" t="n">
        <f aca="false">Орудия!C$6</f>
        <v>10</v>
      </c>
      <c r="K40" s="1" t="n">
        <f aca="false">Орудия!D$6</f>
        <v>5</v>
      </c>
      <c r="L40" s="5" t="str">
        <f aca="false">Орудия!E$6</f>
        <v>18/32'</v>
      </c>
      <c r="M40" s="5" t="n">
        <f aca="false">B40-F40-J40</f>
        <v>7</v>
      </c>
      <c r="N40" s="5" t="n">
        <f aca="false">G40-D40-K40</f>
        <v>3</v>
      </c>
    </row>
    <row r="41" customFormat="false" ht="12.8" hidden="false" customHeight="false" outlineLevel="0" collapsed="false">
      <c r="A41" s="5" t="str">
        <f aca="false">Генераторы!A$2</f>
        <v>SG-2KT</v>
      </c>
      <c r="B41" s="5" t="n">
        <f aca="false">Генераторы!B$2</f>
        <v>10</v>
      </c>
      <c r="C41" s="5" t="str">
        <f aca="false">Генераторы!C$2</f>
        <v>3+</v>
      </c>
      <c r="D41" s="5" t="n">
        <f aca="false">Генераторы!D$2</f>
        <v>2</v>
      </c>
      <c r="E41" s="5" t="str">
        <f aca="false">Двигатели!A$3</f>
        <v>LQB-M</v>
      </c>
      <c r="F41" s="5" t="n">
        <f aca="false">Двигатели!B$3</f>
        <v>6</v>
      </c>
      <c r="G41" s="5" t="n">
        <f aca="false">Двигатели!C$3</f>
        <v>18</v>
      </c>
      <c r="H41" s="1" t="str">
        <f aca="false">Орудия!A$6</f>
        <v>HBT "Рубрик"</v>
      </c>
      <c r="I41" s="1" t="str">
        <f aca="false">Орудия!B$6</f>
        <v>тяж. Болт</v>
      </c>
      <c r="J41" s="1" t="n">
        <f aca="false">Орудия!C$6</f>
        <v>10</v>
      </c>
      <c r="K41" s="1" t="n">
        <f aca="false">Орудия!D$6</f>
        <v>5</v>
      </c>
      <c r="L41" s="5" t="str">
        <f aca="false">Орудия!E$6</f>
        <v>18/32'</v>
      </c>
      <c r="M41" s="5" t="n">
        <f aca="false">B41-F41-J41</f>
        <v>-6</v>
      </c>
      <c r="N41" s="5" t="n">
        <f aca="false">G41-D41-K41</f>
        <v>11</v>
      </c>
    </row>
    <row r="42" customFormat="false" ht="12.8" hidden="false" customHeight="false" outlineLevel="0" collapsed="false">
      <c r="A42" s="5" t="str">
        <f aca="false">Генераторы!A$3</f>
        <v>SG-3KT</v>
      </c>
      <c r="B42" s="5" t="n">
        <f aca="false">Генераторы!B$3</f>
        <v>15</v>
      </c>
      <c r="C42" s="5" t="str">
        <f aca="false">Генераторы!C$3</f>
        <v>3+</v>
      </c>
      <c r="D42" s="5" t="n">
        <f aca="false">Генераторы!D$3</f>
        <v>3</v>
      </c>
      <c r="E42" s="5" t="str">
        <f aca="false">Двигатели!A$3</f>
        <v>LQB-M</v>
      </c>
      <c r="F42" s="5" t="n">
        <f aca="false">Двигатели!B$3</f>
        <v>6</v>
      </c>
      <c r="G42" s="5" t="n">
        <f aca="false">Двигатели!C$3</f>
        <v>18</v>
      </c>
      <c r="H42" s="1" t="str">
        <f aca="false">Орудия!A$6</f>
        <v>HBT "Рубрик"</v>
      </c>
      <c r="I42" s="1" t="str">
        <f aca="false">Орудия!B$6</f>
        <v>тяж. Болт</v>
      </c>
      <c r="J42" s="1" t="n">
        <f aca="false">Орудия!C$6</f>
        <v>10</v>
      </c>
      <c r="K42" s="1" t="n">
        <f aca="false">Орудия!D$6</f>
        <v>5</v>
      </c>
      <c r="L42" s="5" t="str">
        <f aca="false">Орудия!E$6</f>
        <v>18/32'</v>
      </c>
      <c r="M42" s="5" t="n">
        <f aca="false">B42-F42-J42</f>
        <v>-1</v>
      </c>
      <c r="N42" s="5" t="n">
        <f aca="false">G42-D42-K42</f>
        <v>10</v>
      </c>
    </row>
    <row r="43" customFormat="false" ht="12.8" hidden="false" customHeight="false" outlineLevel="0" collapsed="false">
      <c r="A43" s="5" t="str">
        <f aca="false">Генераторы!A$4</f>
        <v>SG-8KT</v>
      </c>
      <c r="B43" s="5" t="n">
        <f aca="false">Генераторы!B$4</f>
        <v>20</v>
      </c>
      <c r="C43" s="5" t="str">
        <f aca="false">Генераторы!C$4</f>
        <v>4+</v>
      </c>
      <c r="D43" s="5" t="n">
        <f aca="false">Генераторы!D$4</f>
        <v>8</v>
      </c>
      <c r="E43" s="5" t="str">
        <f aca="false">Двигатели!A$3</f>
        <v>LQB-M</v>
      </c>
      <c r="F43" s="5" t="n">
        <f aca="false">Двигатели!B$3</f>
        <v>6</v>
      </c>
      <c r="G43" s="5" t="n">
        <f aca="false">Двигатели!C$3</f>
        <v>18</v>
      </c>
      <c r="H43" s="1" t="str">
        <f aca="false">Орудия!A$6</f>
        <v>HBT "Рубрик"</v>
      </c>
      <c r="I43" s="1" t="str">
        <f aca="false">Орудия!B$6</f>
        <v>тяж. Болт</v>
      </c>
      <c r="J43" s="1" t="n">
        <f aca="false">Орудия!C$6</f>
        <v>10</v>
      </c>
      <c r="K43" s="1" t="n">
        <f aca="false">Орудия!D$6</f>
        <v>5</v>
      </c>
      <c r="L43" s="5" t="str">
        <f aca="false">Орудия!E$6</f>
        <v>18/32'</v>
      </c>
      <c r="M43" s="5" t="n">
        <f aca="false">B43-F43-J43</f>
        <v>4</v>
      </c>
      <c r="N43" s="5" t="n">
        <f aca="false">G43-D43-K43</f>
        <v>5</v>
      </c>
    </row>
    <row r="44" customFormat="false" ht="12.8" hidden="false" customHeight="false" outlineLevel="0" collapsed="false">
      <c r="A44" s="5" t="str">
        <f aca="false">Генераторы!A$2</f>
        <v>SG-2KT</v>
      </c>
      <c r="B44" s="5" t="n">
        <f aca="false">Генераторы!B$2</f>
        <v>10</v>
      </c>
      <c r="C44" s="5" t="str">
        <f aca="false">Генераторы!C$2</f>
        <v>3+</v>
      </c>
      <c r="D44" s="5" t="n">
        <f aca="false">Генераторы!D$2</f>
        <v>2</v>
      </c>
      <c r="E44" s="5" t="str">
        <f aca="false">Двигатели!A$4</f>
        <v>LQB-L</v>
      </c>
      <c r="F44" s="5" t="n">
        <f aca="false">Двигатели!B$4</f>
        <v>10</v>
      </c>
      <c r="G44" s="5" t="n">
        <f aca="false">Двигатели!C$4</f>
        <v>20</v>
      </c>
      <c r="H44" s="1" t="str">
        <f aca="false">Орудия!A$6</f>
        <v>HBT "Рубрик"</v>
      </c>
      <c r="I44" s="1" t="str">
        <f aca="false">Орудия!B$6</f>
        <v>тяж. Болт</v>
      </c>
      <c r="J44" s="1" t="n">
        <f aca="false">Орудия!C$6</f>
        <v>10</v>
      </c>
      <c r="K44" s="1" t="n">
        <f aca="false">Орудия!D$6</f>
        <v>5</v>
      </c>
      <c r="L44" s="5" t="str">
        <f aca="false">Орудия!E$6</f>
        <v>18/32'</v>
      </c>
      <c r="M44" s="5" t="n">
        <f aca="false">B44-F44-J44</f>
        <v>-10</v>
      </c>
      <c r="N44" s="5" t="n">
        <f aca="false">G44-D44-K44</f>
        <v>13</v>
      </c>
    </row>
    <row r="45" customFormat="false" ht="12.8" hidden="false" customHeight="false" outlineLevel="0" collapsed="false">
      <c r="A45" s="5" t="str">
        <f aca="false">Генераторы!A$3</f>
        <v>SG-3KT</v>
      </c>
      <c r="B45" s="5" t="n">
        <f aca="false">Генераторы!B$3</f>
        <v>15</v>
      </c>
      <c r="C45" s="5" t="str">
        <f aca="false">Генераторы!C$3</f>
        <v>3+</v>
      </c>
      <c r="D45" s="5" t="n">
        <f aca="false">Генераторы!D$3</f>
        <v>3</v>
      </c>
      <c r="E45" s="5" t="str">
        <f aca="false">Двигатели!A$4</f>
        <v>LQB-L</v>
      </c>
      <c r="F45" s="5" t="n">
        <f aca="false">Двигатели!B$4</f>
        <v>10</v>
      </c>
      <c r="G45" s="5" t="n">
        <f aca="false">Двигатели!C$4</f>
        <v>20</v>
      </c>
      <c r="H45" s="1" t="str">
        <f aca="false">Орудия!A$6</f>
        <v>HBT "Рубрик"</v>
      </c>
      <c r="I45" s="1" t="str">
        <f aca="false">Орудия!B$6</f>
        <v>тяж. Болт</v>
      </c>
      <c r="J45" s="1" t="n">
        <f aca="false">Орудия!C$6</f>
        <v>10</v>
      </c>
      <c r="K45" s="1" t="n">
        <f aca="false">Орудия!D$6</f>
        <v>5</v>
      </c>
      <c r="L45" s="5" t="str">
        <f aca="false">Орудия!E$6</f>
        <v>18/32'</v>
      </c>
      <c r="M45" s="5" t="n">
        <f aca="false">B45-F45-J45</f>
        <v>-5</v>
      </c>
      <c r="N45" s="5" t="n">
        <f aca="false">G45-D45-K45</f>
        <v>12</v>
      </c>
    </row>
    <row r="46" customFormat="false" ht="12.8" hidden="false" customHeight="false" outlineLevel="0" collapsed="false">
      <c r="A46" s="5" t="str">
        <f aca="false">Генераторы!A$4</f>
        <v>SG-8KT</v>
      </c>
      <c r="B46" s="5" t="n">
        <f aca="false">Генераторы!B$4</f>
        <v>20</v>
      </c>
      <c r="C46" s="5" t="str">
        <f aca="false">Генераторы!C$4</f>
        <v>4+</v>
      </c>
      <c r="D46" s="5" t="n">
        <f aca="false">Генераторы!D$4</f>
        <v>8</v>
      </c>
      <c r="E46" s="5" t="str">
        <f aca="false">Двигатели!A$4</f>
        <v>LQB-L</v>
      </c>
      <c r="F46" s="5" t="n">
        <f aca="false">Двигатели!B$4</f>
        <v>10</v>
      </c>
      <c r="G46" s="5" t="n">
        <f aca="false">Двигатели!C$4</f>
        <v>20</v>
      </c>
      <c r="H46" s="1" t="str">
        <f aca="false">Орудия!A$6</f>
        <v>HBT "Рубрик"</v>
      </c>
      <c r="I46" s="1" t="str">
        <f aca="false">Орудия!B$6</f>
        <v>тяж. Болт</v>
      </c>
      <c r="J46" s="1" t="n">
        <f aca="false">Орудия!C$6</f>
        <v>10</v>
      </c>
      <c r="K46" s="1" t="n">
        <f aca="false">Орудия!D$6</f>
        <v>5</v>
      </c>
      <c r="L46" s="5" t="str">
        <f aca="false">Орудия!E$6</f>
        <v>18/32'</v>
      </c>
      <c r="M46" s="5" t="n">
        <f aca="false">B46-F46-J46</f>
        <v>0</v>
      </c>
      <c r="N46" s="5" t="n">
        <f aca="false">G46-D46-K46</f>
        <v>7</v>
      </c>
    </row>
    <row r="47" customFormat="false" ht="12.8" hidden="false" customHeight="false" outlineLevel="0" collapsed="false">
      <c r="A47" s="5" t="str">
        <f aca="false">Генераторы!A$2</f>
        <v>SG-2KT</v>
      </c>
      <c r="B47" s="5" t="n">
        <f aca="false">Генераторы!B$2</f>
        <v>10</v>
      </c>
      <c r="C47" s="5" t="str">
        <f aca="false">Генераторы!C$2</f>
        <v>3+</v>
      </c>
      <c r="D47" s="5" t="n">
        <f aca="false">Генераторы!D$2</f>
        <v>2</v>
      </c>
      <c r="E47" s="5" t="str">
        <f aca="false">Двигатели!A$2</f>
        <v>LQB-S</v>
      </c>
      <c r="F47" s="5" t="n">
        <f aca="false">Двигатели!B$2</f>
        <v>3</v>
      </c>
      <c r="G47" s="5" t="n">
        <f aca="false">Двигатели!C$2</f>
        <v>16</v>
      </c>
      <c r="H47" s="1" t="str">
        <f aca="false">Орудия!A$7</f>
        <v>MT-L "сверчок"</v>
      </c>
      <c r="I47" s="1" t="str">
        <f aca="false">Орудия!B$7</f>
        <v>Лёгкая ракета</v>
      </c>
      <c r="J47" s="1" t="n">
        <f aca="false">Орудия!C$7</f>
        <v>2</v>
      </c>
      <c r="K47" s="1" t="n">
        <f aca="false">Орудия!D$7</f>
        <v>3</v>
      </c>
      <c r="L47" s="5" t="str">
        <f aca="false">Орудия!E$7</f>
        <v>8/18'</v>
      </c>
      <c r="M47" s="5" t="n">
        <f aca="false">B47-F47-J47</f>
        <v>5</v>
      </c>
      <c r="N47" s="5" t="n">
        <f aca="false">G47-D47-K47</f>
        <v>11</v>
      </c>
    </row>
    <row r="48" customFormat="false" ht="12.8" hidden="false" customHeight="false" outlineLevel="0" collapsed="false">
      <c r="A48" s="5" t="str">
        <f aca="false">Генераторы!A$3</f>
        <v>SG-3KT</v>
      </c>
      <c r="B48" s="5" t="n">
        <f aca="false">Генераторы!B$3</f>
        <v>15</v>
      </c>
      <c r="C48" s="5" t="str">
        <f aca="false">Генераторы!C$3</f>
        <v>3+</v>
      </c>
      <c r="D48" s="5" t="n">
        <f aca="false">Генераторы!D$3</f>
        <v>3</v>
      </c>
      <c r="E48" s="5" t="str">
        <f aca="false">Двигатели!A$2</f>
        <v>LQB-S</v>
      </c>
      <c r="F48" s="5" t="n">
        <f aca="false">Двигатели!B$2</f>
        <v>3</v>
      </c>
      <c r="G48" s="5" t="n">
        <f aca="false">Двигатели!C$2</f>
        <v>16</v>
      </c>
      <c r="H48" s="1" t="str">
        <f aca="false">Орудия!A$7</f>
        <v>MT-L "сверчок"</v>
      </c>
      <c r="I48" s="1" t="str">
        <f aca="false">Орудия!B$7</f>
        <v>Лёгкая ракета</v>
      </c>
      <c r="J48" s="1" t="n">
        <f aca="false">Орудия!C$7</f>
        <v>2</v>
      </c>
      <c r="K48" s="1" t="n">
        <f aca="false">Орудия!D$7</f>
        <v>3</v>
      </c>
      <c r="L48" s="5" t="str">
        <f aca="false">Орудия!E$7</f>
        <v>8/18'</v>
      </c>
      <c r="M48" s="5" t="n">
        <f aca="false">B48-F48-J48</f>
        <v>10</v>
      </c>
      <c r="N48" s="5" t="n">
        <f aca="false">G48-D48-K48</f>
        <v>10</v>
      </c>
    </row>
    <row r="49" customFormat="false" ht="12.8" hidden="false" customHeight="false" outlineLevel="0" collapsed="false">
      <c r="A49" s="5" t="str">
        <f aca="false">Генераторы!A$4</f>
        <v>SG-8KT</v>
      </c>
      <c r="B49" s="5" t="n">
        <f aca="false">Генераторы!B$4</f>
        <v>20</v>
      </c>
      <c r="C49" s="5" t="str">
        <f aca="false">Генераторы!C$4</f>
        <v>4+</v>
      </c>
      <c r="D49" s="5" t="n">
        <f aca="false">Генераторы!D$4</f>
        <v>8</v>
      </c>
      <c r="E49" s="5" t="str">
        <f aca="false">Двигатели!A$2</f>
        <v>LQB-S</v>
      </c>
      <c r="F49" s="5" t="n">
        <f aca="false">Двигатели!B$2</f>
        <v>3</v>
      </c>
      <c r="G49" s="5" t="n">
        <f aca="false">Двигатели!C$2</f>
        <v>16</v>
      </c>
      <c r="H49" s="1" t="str">
        <f aca="false">Орудия!A$7</f>
        <v>MT-L "сверчок"</v>
      </c>
      <c r="I49" s="1" t="str">
        <f aca="false">Орудия!B$7</f>
        <v>Лёгкая ракета</v>
      </c>
      <c r="J49" s="1" t="n">
        <f aca="false">Орудия!C$7</f>
        <v>2</v>
      </c>
      <c r="K49" s="1" t="n">
        <f aca="false">Орудия!D$7</f>
        <v>3</v>
      </c>
      <c r="L49" s="5" t="str">
        <f aca="false">Орудия!E$7</f>
        <v>8/18'</v>
      </c>
      <c r="M49" s="5" t="n">
        <f aca="false">B49-F49-J49</f>
        <v>15</v>
      </c>
      <c r="N49" s="5" t="n">
        <f aca="false">G49-D49-K49</f>
        <v>5</v>
      </c>
    </row>
    <row r="50" customFormat="false" ht="12.8" hidden="false" customHeight="false" outlineLevel="0" collapsed="false">
      <c r="A50" s="5" t="str">
        <f aca="false">Генераторы!A$2</f>
        <v>SG-2KT</v>
      </c>
      <c r="B50" s="5" t="n">
        <f aca="false">Генераторы!B$2</f>
        <v>10</v>
      </c>
      <c r="C50" s="5" t="str">
        <f aca="false">Генераторы!C$2</f>
        <v>3+</v>
      </c>
      <c r="D50" s="5" t="n">
        <f aca="false">Генераторы!D$2</f>
        <v>2</v>
      </c>
      <c r="E50" s="5" t="str">
        <f aca="false">Двигатели!A$3</f>
        <v>LQB-M</v>
      </c>
      <c r="F50" s="5" t="n">
        <f aca="false">Двигатели!B$3</f>
        <v>6</v>
      </c>
      <c r="G50" s="5" t="n">
        <f aca="false">Двигатели!C$3</f>
        <v>18</v>
      </c>
      <c r="H50" s="1" t="str">
        <f aca="false">Орудия!A$7</f>
        <v>MT-L "сверчок"</v>
      </c>
      <c r="I50" s="1" t="str">
        <f aca="false">Орудия!B$7</f>
        <v>Лёгкая ракета</v>
      </c>
      <c r="J50" s="1" t="n">
        <f aca="false">Орудия!C$7</f>
        <v>2</v>
      </c>
      <c r="K50" s="1" t="n">
        <f aca="false">Орудия!D$7</f>
        <v>3</v>
      </c>
      <c r="L50" s="5" t="str">
        <f aca="false">Орудия!E$7</f>
        <v>8/18'</v>
      </c>
      <c r="M50" s="5" t="n">
        <f aca="false">B50-F50-J50</f>
        <v>2</v>
      </c>
      <c r="N50" s="5" t="n">
        <f aca="false">G50-D50-K50</f>
        <v>13</v>
      </c>
    </row>
    <row r="51" customFormat="false" ht="12.8" hidden="false" customHeight="false" outlineLevel="0" collapsed="false">
      <c r="A51" s="5" t="str">
        <f aca="false">Генераторы!A$3</f>
        <v>SG-3KT</v>
      </c>
      <c r="B51" s="5" t="n">
        <f aca="false">Генераторы!B$3</f>
        <v>15</v>
      </c>
      <c r="C51" s="5" t="str">
        <f aca="false">Генераторы!C$3</f>
        <v>3+</v>
      </c>
      <c r="D51" s="5" t="n">
        <f aca="false">Генераторы!D$3</f>
        <v>3</v>
      </c>
      <c r="E51" s="5" t="str">
        <f aca="false">Двигатели!A$3</f>
        <v>LQB-M</v>
      </c>
      <c r="F51" s="5" t="n">
        <f aca="false">Двигатели!B$3</f>
        <v>6</v>
      </c>
      <c r="G51" s="5" t="n">
        <f aca="false">Двигатели!C$3</f>
        <v>18</v>
      </c>
      <c r="H51" s="1" t="str">
        <f aca="false">Орудия!A$7</f>
        <v>MT-L "сверчок"</v>
      </c>
      <c r="I51" s="1" t="str">
        <f aca="false">Орудия!B$7</f>
        <v>Лёгкая ракета</v>
      </c>
      <c r="J51" s="1" t="n">
        <f aca="false">Орудия!C$7</f>
        <v>2</v>
      </c>
      <c r="K51" s="1" t="n">
        <f aca="false">Орудия!D$7</f>
        <v>3</v>
      </c>
      <c r="L51" s="5" t="str">
        <f aca="false">Орудия!E$7</f>
        <v>8/18'</v>
      </c>
      <c r="M51" s="5" t="n">
        <f aca="false">B51-F51-J51</f>
        <v>7</v>
      </c>
      <c r="N51" s="5" t="n">
        <f aca="false">G51-D51-K51</f>
        <v>12</v>
      </c>
    </row>
    <row r="52" customFormat="false" ht="12.8" hidden="false" customHeight="false" outlineLevel="0" collapsed="false">
      <c r="A52" s="5" t="str">
        <f aca="false">Генераторы!A$4</f>
        <v>SG-8KT</v>
      </c>
      <c r="B52" s="5" t="n">
        <f aca="false">Генераторы!B$4</f>
        <v>20</v>
      </c>
      <c r="C52" s="5" t="str">
        <f aca="false">Генераторы!C$4</f>
        <v>4+</v>
      </c>
      <c r="D52" s="5" t="n">
        <f aca="false">Генераторы!D$4</f>
        <v>8</v>
      </c>
      <c r="E52" s="5" t="str">
        <f aca="false">Двигатели!A$3</f>
        <v>LQB-M</v>
      </c>
      <c r="F52" s="5" t="n">
        <f aca="false">Двигатели!B$3</f>
        <v>6</v>
      </c>
      <c r="G52" s="5" t="n">
        <f aca="false">Двигатели!C$3</f>
        <v>18</v>
      </c>
      <c r="H52" s="1" t="str">
        <f aca="false">Орудия!A$7</f>
        <v>MT-L "сверчок"</v>
      </c>
      <c r="I52" s="1" t="str">
        <f aca="false">Орудия!B$7</f>
        <v>Лёгкая ракета</v>
      </c>
      <c r="J52" s="1" t="n">
        <f aca="false">Орудия!C$7</f>
        <v>2</v>
      </c>
      <c r="K52" s="1" t="n">
        <f aca="false">Орудия!D$7</f>
        <v>3</v>
      </c>
      <c r="L52" s="5" t="str">
        <f aca="false">Орудия!E$7</f>
        <v>8/18'</v>
      </c>
      <c r="M52" s="5" t="n">
        <f aca="false">B52-F52-J52</f>
        <v>12</v>
      </c>
      <c r="N52" s="5" t="n">
        <f aca="false">G52-D52-K52</f>
        <v>7</v>
      </c>
    </row>
    <row r="53" customFormat="false" ht="12.8" hidden="false" customHeight="false" outlineLevel="0" collapsed="false">
      <c r="A53" s="5" t="str">
        <f aca="false">Генераторы!A$2</f>
        <v>SG-2KT</v>
      </c>
      <c r="B53" s="5" t="n">
        <f aca="false">Генераторы!B$2</f>
        <v>10</v>
      </c>
      <c r="C53" s="5" t="str">
        <f aca="false">Генераторы!C$2</f>
        <v>3+</v>
      </c>
      <c r="D53" s="5" t="n">
        <f aca="false">Генераторы!D$2</f>
        <v>2</v>
      </c>
      <c r="E53" s="5" t="str">
        <f aca="false">Двигатели!A$4</f>
        <v>LQB-L</v>
      </c>
      <c r="F53" s="5" t="n">
        <f aca="false">Двигатели!B$4</f>
        <v>10</v>
      </c>
      <c r="G53" s="5" t="n">
        <f aca="false">Двигатели!C$4</f>
        <v>20</v>
      </c>
      <c r="H53" s="1" t="str">
        <f aca="false">Орудия!A$7</f>
        <v>MT-L "сверчок"</v>
      </c>
      <c r="I53" s="1" t="str">
        <f aca="false">Орудия!B$7</f>
        <v>Лёгкая ракета</v>
      </c>
      <c r="J53" s="1" t="n">
        <f aca="false">Орудия!C$7</f>
        <v>2</v>
      </c>
      <c r="K53" s="1" t="n">
        <f aca="false">Орудия!D$7</f>
        <v>3</v>
      </c>
      <c r="L53" s="5" t="str">
        <f aca="false">Орудия!E$7</f>
        <v>8/18'</v>
      </c>
      <c r="M53" s="5" t="n">
        <f aca="false">B53-F53-J53</f>
        <v>-2</v>
      </c>
      <c r="N53" s="5" t="n">
        <f aca="false">G53-D53-K53</f>
        <v>15</v>
      </c>
    </row>
    <row r="54" customFormat="false" ht="12.8" hidden="false" customHeight="false" outlineLevel="0" collapsed="false">
      <c r="A54" s="5" t="str">
        <f aca="false">Генераторы!A$3</f>
        <v>SG-3KT</v>
      </c>
      <c r="B54" s="5" t="n">
        <f aca="false">Генераторы!B$3</f>
        <v>15</v>
      </c>
      <c r="C54" s="5" t="str">
        <f aca="false">Генераторы!C$3</f>
        <v>3+</v>
      </c>
      <c r="D54" s="5" t="n">
        <f aca="false">Генераторы!D$3</f>
        <v>3</v>
      </c>
      <c r="E54" s="5" t="str">
        <f aca="false">Двигатели!A$4</f>
        <v>LQB-L</v>
      </c>
      <c r="F54" s="5" t="n">
        <f aca="false">Двигатели!B$4</f>
        <v>10</v>
      </c>
      <c r="G54" s="5" t="n">
        <f aca="false">Двигатели!C$4</f>
        <v>20</v>
      </c>
      <c r="H54" s="1" t="str">
        <f aca="false">Орудия!A$7</f>
        <v>MT-L "сверчок"</v>
      </c>
      <c r="I54" s="1" t="str">
        <f aca="false">Орудия!B$7</f>
        <v>Лёгкая ракета</v>
      </c>
      <c r="J54" s="1" t="n">
        <f aca="false">Орудия!C$7</f>
        <v>2</v>
      </c>
      <c r="K54" s="1" t="n">
        <f aca="false">Орудия!D$7</f>
        <v>3</v>
      </c>
      <c r="L54" s="5" t="str">
        <f aca="false">Орудия!E$7</f>
        <v>8/18'</v>
      </c>
      <c r="M54" s="5" t="n">
        <f aca="false">B54-F54-J54</f>
        <v>3</v>
      </c>
      <c r="N54" s="5" t="n">
        <f aca="false">G54-D54-K54</f>
        <v>14</v>
      </c>
    </row>
    <row r="55" customFormat="false" ht="12.8" hidden="false" customHeight="false" outlineLevel="0" collapsed="false">
      <c r="A55" s="5" t="str">
        <f aca="false">Генераторы!A$4</f>
        <v>SG-8KT</v>
      </c>
      <c r="B55" s="5" t="n">
        <f aca="false">Генераторы!B$4</f>
        <v>20</v>
      </c>
      <c r="C55" s="5" t="str">
        <f aca="false">Генераторы!C$4</f>
        <v>4+</v>
      </c>
      <c r="D55" s="5" t="n">
        <f aca="false">Генераторы!D$4</f>
        <v>8</v>
      </c>
      <c r="E55" s="5" t="str">
        <f aca="false">Двигатели!A$4</f>
        <v>LQB-L</v>
      </c>
      <c r="F55" s="5" t="n">
        <f aca="false">Двигатели!B$4</f>
        <v>10</v>
      </c>
      <c r="G55" s="5" t="n">
        <f aca="false">Двигатели!C$4</f>
        <v>20</v>
      </c>
      <c r="H55" s="1" t="str">
        <f aca="false">Орудия!A$7</f>
        <v>MT-L "сверчок"</v>
      </c>
      <c r="I55" s="1" t="str">
        <f aca="false">Орудия!B$7</f>
        <v>Лёгкая ракета</v>
      </c>
      <c r="J55" s="1" t="n">
        <f aca="false">Орудия!C$7</f>
        <v>2</v>
      </c>
      <c r="K55" s="1" t="n">
        <f aca="false">Орудия!D$7</f>
        <v>3</v>
      </c>
      <c r="L55" s="5" t="str">
        <f aca="false">Орудия!E$7</f>
        <v>8/18'</v>
      </c>
      <c r="M55" s="5" t="n">
        <f aca="false">B55-F55-J55</f>
        <v>8</v>
      </c>
      <c r="N55" s="5" t="n">
        <f aca="false">G55-D55-K55</f>
        <v>9</v>
      </c>
    </row>
    <row r="56" customFormat="false" ht="12.8" hidden="false" customHeight="false" outlineLevel="0" collapsed="false">
      <c r="A56" s="5" t="str">
        <f aca="false">Генераторы!A$2</f>
        <v>SG-2KT</v>
      </c>
      <c r="B56" s="5" t="n">
        <f aca="false">Генераторы!B$2</f>
        <v>10</v>
      </c>
      <c r="C56" s="5" t="str">
        <f aca="false">Генераторы!C$2</f>
        <v>3+</v>
      </c>
      <c r="D56" s="5" t="n">
        <f aca="false">Генераторы!D$2</f>
        <v>2</v>
      </c>
      <c r="E56" s="5" t="str">
        <f aca="false">Двигатели!A$2</f>
        <v>LQB-S</v>
      </c>
      <c r="F56" s="5" t="n">
        <f aca="false">Двигатели!B$2</f>
        <v>3</v>
      </c>
      <c r="G56" s="5" t="n">
        <f aca="false">Двигатели!C$2</f>
        <v>16</v>
      </c>
      <c r="H56" s="1" t="str">
        <f aca="false">Орудия!A$8</f>
        <v>FTLW "Смайт"</v>
      </c>
      <c r="I56" s="1" t="str">
        <f aca="false">Орудия!B$8</f>
        <v>FTL-болт</v>
      </c>
      <c r="J56" s="1" t="n">
        <f aca="false">Орудия!C$8</f>
        <v>14</v>
      </c>
      <c r="K56" s="1" t="n">
        <f aca="false">Орудия!D$8</f>
        <v>8</v>
      </c>
      <c r="L56" s="5" t="str">
        <f aca="false">Орудия!E$8</f>
        <v>-/40'</v>
      </c>
      <c r="M56" s="5" t="n">
        <f aca="false">B56-F56-J56</f>
        <v>-7</v>
      </c>
      <c r="N56" s="5" t="n">
        <f aca="false">G56-D56-K56</f>
        <v>6</v>
      </c>
    </row>
    <row r="57" customFormat="false" ht="12.8" hidden="false" customHeight="false" outlineLevel="0" collapsed="false">
      <c r="A57" s="5" t="str">
        <f aca="false">Генераторы!A$3</f>
        <v>SG-3KT</v>
      </c>
      <c r="B57" s="5" t="n">
        <f aca="false">Генераторы!B$3</f>
        <v>15</v>
      </c>
      <c r="C57" s="5" t="str">
        <f aca="false">Генераторы!C$3</f>
        <v>3+</v>
      </c>
      <c r="D57" s="5" t="n">
        <f aca="false">Генераторы!D$3</f>
        <v>3</v>
      </c>
      <c r="E57" s="5" t="str">
        <f aca="false">Двигатели!A$2</f>
        <v>LQB-S</v>
      </c>
      <c r="F57" s="5" t="n">
        <f aca="false">Двигатели!B$2</f>
        <v>3</v>
      </c>
      <c r="G57" s="5" t="n">
        <f aca="false">Двигатели!C$2</f>
        <v>16</v>
      </c>
      <c r="H57" s="1" t="str">
        <f aca="false">Орудия!A$8</f>
        <v>FTLW "Смайт"</v>
      </c>
      <c r="I57" s="1" t="str">
        <f aca="false">Орудия!B$8</f>
        <v>FTL-болт</v>
      </c>
      <c r="J57" s="1" t="n">
        <f aca="false">Орудия!C$8</f>
        <v>14</v>
      </c>
      <c r="K57" s="1" t="n">
        <f aca="false">Орудия!D$8</f>
        <v>8</v>
      </c>
      <c r="L57" s="5" t="str">
        <f aca="false">Орудия!E$8</f>
        <v>-/40'</v>
      </c>
      <c r="M57" s="5" t="n">
        <f aca="false">B57-F57-J57</f>
        <v>-2</v>
      </c>
      <c r="N57" s="5" t="n">
        <f aca="false">G57-D57-K57</f>
        <v>5</v>
      </c>
    </row>
    <row r="58" customFormat="false" ht="12.8" hidden="false" customHeight="false" outlineLevel="0" collapsed="false">
      <c r="A58" s="5" t="str">
        <f aca="false">Генераторы!A$4</f>
        <v>SG-8KT</v>
      </c>
      <c r="B58" s="5" t="n">
        <f aca="false">Генераторы!B$4</f>
        <v>20</v>
      </c>
      <c r="C58" s="5" t="str">
        <f aca="false">Генераторы!C$4</f>
        <v>4+</v>
      </c>
      <c r="D58" s="5" t="n">
        <f aca="false">Генераторы!D$4</f>
        <v>8</v>
      </c>
      <c r="E58" s="5" t="str">
        <f aca="false">Двигатели!A$2</f>
        <v>LQB-S</v>
      </c>
      <c r="F58" s="5" t="n">
        <f aca="false">Двигатели!B$2</f>
        <v>3</v>
      </c>
      <c r="G58" s="5" t="n">
        <f aca="false">Двигатели!C$2</f>
        <v>16</v>
      </c>
      <c r="H58" s="1" t="str">
        <f aca="false">Орудия!A$8</f>
        <v>FTLW "Смайт"</v>
      </c>
      <c r="I58" s="1" t="str">
        <f aca="false">Орудия!B$8</f>
        <v>FTL-болт</v>
      </c>
      <c r="J58" s="1" t="n">
        <f aca="false">Орудия!C$8</f>
        <v>14</v>
      </c>
      <c r="K58" s="1" t="n">
        <f aca="false">Орудия!D$8</f>
        <v>8</v>
      </c>
      <c r="L58" s="5" t="str">
        <f aca="false">Орудия!E$8</f>
        <v>-/40'</v>
      </c>
      <c r="M58" s="5" t="n">
        <f aca="false">B58-F58-J58</f>
        <v>3</v>
      </c>
      <c r="N58" s="5" t="n">
        <f aca="false">G58-D58-K58</f>
        <v>0</v>
      </c>
    </row>
    <row r="59" customFormat="false" ht="12.8" hidden="false" customHeight="false" outlineLevel="0" collapsed="false">
      <c r="A59" s="5" t="str">
        <f aca="false">Генераторы!A$2</f>
        <v>SG-2KT</v>
      </c>
      <c r="B59" s="5" t="n">
        <f aca="false">Генераторы!B$2</f>
        <v>10</v>
      </c>
      <c r="C59" s="5" t="str">
        <f aca="false">Генераторы!C$2</f>
        <v>3+</v>
      </c>
      <c r="D59" s="5" t="n">
        <f aca="false">Генераторы!D$2</f>
        <v>2</v>
      </c>
      <c r="E59" s="5" t="str">
        <f aca="false">Двигатели!A$3</f>
        <v>LQB-M</v>
      </c>
      <c r="F59" s="5" t="n">
        <f aca="false">Двигатели!B$3</f>
        <v>6</v>
      </c>
      <c r="G59" s="5" t="n">
        <f aca="false">Двигатели!C$3</f>
        <v>18</v>
      </c>
      <c r="H59" s="1" t="str">
        <f aca="false">Орудия!A$8</f>
        <v>FTLW "Смайт"</v>
      </c>
      <c r="I59" s="1" t="str">
        <f aca="false">Орудия!B$8</f>
        <v>FTL-болт</v>
      </c>
      <c r="J59" s="1" t="n">
        <f aca="false">Орудия!C$8</f>
        <v>14</v>
      </c>
      <c r="K59" s="1" t="n">
        <f aca="false">Орудия!D$8</f>
        <v>8</v>
      </c>
      <c r="L59" s="5" t="str">
        <f aca="false">Орудия!E$8</f>
        <v>-/40'</v>
      </c>
      <c r="M59" s="5" t="n">
        <f aca="false">B59-F59-J59</f>
        <v>-10</v>
      </c>
      <c r="N59" s="5" t="n">
        <f aca="false">G59-D59-K59</f>
        <v>8</v>
      </c>
    </row>
    <row r="60" customFormat="false" ht="12.8" hidden="false" customHeight="false" outlineLevel="0" collapsed="false">
      <c r="A60" s="5" t="str">
        <f aca="false">Генераторы!A$3</f>
        <v>SG-3KT</v>
      </c>
      <c r="B60" s="5" t="n">
        <f aca="false">Генераторы!B$3</f>
        <v>15</v>
      </c>
      <c r="C60" s="5" t="str">
        <f aca="false">Генераторы!C$3</f>
        <v>3+</v>
      </c>
      <c r="D60" s="5" t="n">
        <f aca="false">Генераторы!D$3</f>
        <v>3</v>
      </c>
      <c r="E60" s="5" t="str">
        <f aca="false">Двигатели!A$3</f>
        <v>LQB-M</v>
      </c>
      <c r="F60" s="5" t="n">
        <f aca="false">Двигатели!B$3</f>
        <v>6</v>
      </c>
      <c r="G60" s="5" t="n">
        <f aca="false">Двигатели!C$3</f>
        <v>18</v>
      </c>
      <c r="H60" s="1" t="str">
        <f aca="false">Орудия!A$8</f>
        <v>FTLW "Смайт"</v>
      </c>
      <c r="I60" s="1" t="str">
        <f aca="false">Орудия!B$8</f>
        <v>FTL-болт</v>
      </c>
      <c r="J60" s="1" t="n">
        <f aca="false">Орудия!C$8</f>
        <v>14</v>
      </c>
      <c r="K60" s="1" t="n">
        <f aca="false">Орудия!D$8</f>
        <v>8</v>
      </c>
      <c r="L60" s="5" t="str">
        <f aca="false">Орудия!E$8</f>
        <v>-/40'</v>
      </c>
      <c r="M60" s="5" t="n">
        <f aca="false">B60-F60-J60</f>
        <v>-5</v>
      </c>
      <c r="N60" s="5" t="n">
        <f aca="false">G60-D60-K60</f>
        <v>7</v>
      </c>
    </row>
    <row r="61" customFormat="false" ht="12.8" hidden="false" customHeight="false" outlineLevel="0" collapsed="false">
      <c r="A61" s="5" t="str">
        <f aca="false">Генераторы!A$4</f>
        <v>SG-8KT</v>
      </c>
      <c r="B61" s="5" t="n">
        <f aca="false">Генераторы!B$4</f>
        <v>20</v>
      </c>
      <c r="C61" s="5" t="str">
        <f aca="false">Генераторы!C$4</f>
        <v>4+</v>
      </c>
      <c r="D61" s="5" t="n">
        <f aca="false">Генераторы!D$4</f>
        <v>8</v>
      </c>
      <c r="E61" s="5" t="str">
        <f aca="false">Двигатели!A$3</f>
        <v>LQB-M</v>
      </c>
      <c r="F61" s="5" t="n">
        <f aca="false">Двигатели!B$3</f>
        <v>6</v>
      </c>
      <c r="G61" s="5" t="n">
        <f aca="false">Двигатели!C$3</f>
        <v>18</v>
      </c>
      <c r="H61" s="1" t="str">
        <f aca="false">Орудия!A$8</f>
        <v>FTLW "Смайт"</v>
      </c>
      <c r="I61" s="1" t="str">
        <f aca="false">Орудия!B$8</f>
        <v>FTL-болт</v>
      </c>
      <c r="J61" s="1" t="n">
        <f aca="false">Орудия!C$8</f>
        <v>14</v>
      </c>
      <c r="K61" s="1" t="n">
        <f aca="false">Орудия!D$8</f>
        <v>8</v>
      </c>
      <c r="L61" s="5" t="str">
        <f aca="false">Орудия!E$8</f>
        <v>-/40'</v>
      </c>
      <c r="M61" s="5" t="n">
        <f aca="false">B61-F61-J61</f>
        <v>0</v>
      </c>
      <c r="N61" s="5" t="n">
        <f aca="false">G61-D61-K61</f>
        <v>2</v>
      </c>
    </row>
    <row r="62" customFormat="false" ht="12.8" hidden="false" customHeight="false" outlineLevel="0" collapsed="false">
      <c r="A62" s="5" t="str">
        <f aca="false">Генераторы!A$2</f>
        <v>SG-2KT</v>
      </c>
      <c r="B62" s="5" t="n">
        <f aca="false">Генераторы!B$2</f>
        <v>10</v>
      </c>
      <c r="C62" s="5" t="str">
        <f aca="false">Генераторы!C$2</f>
        <v>3+</v>
      </c>
      <c r="D62" s="5" t="n">
        <f aca="false">Генераторы!D$2</f>
        <v>2</v>
      </c>
      <c r="E62" s="5" t="str">
        <f aca="false">Двигатели!A$4</f>
        <v>LQB-L</v>
      </c>
      <c r="F62" s="5" t="n">
        <f aca="false">Двигатели!B$4</f>
        <v>10</v>
      </c>
      <c r="G62" s="5" t="n">
        <f aca="false">Двигатели!C$4</f>
        <v>20</v>
      </c>
      <c r="H62" s="1" t="str">
        <f aca="false">Орудия!A$8</f>
        <v>FTLW "Смайт"</v>
      </c>
      <c r="I62" s="1" t="str">
        <f aca="false">Орудия!B$8</f>
        <v>FTL-болт</v>
      </c>
      <c r="J62" s="1" t="n">
        <f aca="false">Орудия!C$8</f>
        <v>14</v>
      </c>
      <c r="K62" s="1" t="n">
        <f aca="false">Орудия!D$8</f>
        <v>8</v>
      </c>
      <c r="L62" s="5" t="str">
        <f aca="false">Орудия!E$8</f>
        <v>-/40'</v>
      </c>
      <c r="M62" s="5" t="n">
        <f aca="false">B62-F62-J62</f>
        <v>-14</v>
      </c>
      <c r="N62" s="5" t="n">
        <f aca="false">G62-D62-K62</f>
        <v>10</v>
      </c>
    </row>
    <row r="63" customFormat="false" ht="12.8" hidden="false" customHeight="false" outlineLevel="0" collapsed="false">
      <c r="A63" s="5" t="str">
        <f aca="false">Генераторы!A$3</f>
        <v>SG-3KT</v>
      </c>
      <c r="B63" s="5" t="n">
        <f aca="false">Генераторы!B$3</f>
        <v>15</v>
      </c>
      <c r="C63" s="5" t="str">
        <f aca="false">Генераторы!C$3</f>
        <v>3+</v>
      </c>
      <c r="D63" s="5" t="n">
        <f aca="false">Генераторы!D$3</f>
        <v>3</v>
      </c>
      <c r="E63" s="5" t="str">
        <f aca="false">Двигатели!A$4</f>
        <v>LQB-L</v>
      </c>
      <c r="F63" s="5" t="n">
        <f aca="false">Двигатели!B$4</f>
        <v>10</v>
      </c>
      <c r="G63" s="5" t="n">
        <f aca="false">Двигатели!C$4</f>
        <v>20</v>
      </c>
      <c r="H63" s="1" t="str">
        <f aca="false">Орудия!A$8</f>
        <v>FTLW "Смайт"</v>
      </c>
      <c r="I63" s="1" t="str">
        <f aca="false">Орудия!B$8</f>
        <v>FTL-болт</v>
      </c>
      <c r="J63" s="1" t="n">
        <f aca="false">Орудия!C$8</f>
        <v>14</v>
      </c>
      <c r="K63" s="1" t="n">
        <f aca="false">Орудия!D$8</f>
        <v>8</v>
      </c>
      <c r="L63" s="5" t="str">
        <f aca="false">Орудия!E$8</f>
        <v>-/40'</v>
      </c>
      <c r="M63" s="5" t="n">
        <f aca="false">B63-F63-J63</f>
        <v>-9</v>
      </c>
      <c r="N63" s="5" t="n">
        <f aca="false">G63-D63-K63</f>
        <v>9</v>
      </c>
    </row>
    <row r="64" customFormat="false" ht="12.8" hidden="false" customHeight="false" outlineLevel="0" collapsed="false">
      <c r="A64" s="5" t="str">
        <f aca="false">Генераторы!A$4</f>
        <v>SG-8KT</v>
      </c>
      <c r="B64" s="5" t="n">
        <f aca="false">Генераторы!B$4</f>
        <v>20</v>
      </c>
      <c r="C64" s="5" t="str">
        <f aca="false">Генераторы!C$4</f>
        <v>4+</v>
      </c>
      <c r="D64" s="5" t="n">
        <f aca="false">Генераторы!D$4</f>
        <v>8</v>
      </c>
      <c r="E64" s="5" t="str">
        <f aca="false">Двигатели!A$4</f>
        <v>LQB-L</v>
      </c>
      <c r="F64" s="5" t="n">
        <f aca="false">Двигатели!B$4</f>
        <v>10</v>
      </c>
      <c r="G64" s="5" t="n">
        <f aca="false">Двигатели!C$4</f>
        <v>20</v>
      </c>
      <c r="H64" s="1" t="str">
        <f aca="false">Орудия!A$8</f>
        <v>FTLW "Смайт"</v>
      </c>
      <c r="I64" s="1" t="str">
        <f aca="false">Орудия!B$8</f>
        <v>FTL-болт</v>
      </c>
      <c r="J64" s="1" t="n">
        <f aca="false">Орудия!C$8</f>
        <v>14</v>
      </c>
      <c r="K64" s="1" t="n">
        <f aca="false">Орудия!D$8</f>
        <v>8</v>
      </c>
      <c r="L64" s="5" t="str">
        <f aca="false">Орудия!E$8</f>
        <v>-/40'</v>
      </c>
      <c r="M64" s="5" t="n">
        <f aca="false">B64-F64-J64</f>
        <v>-4</v>
      </c>
      <c r="N64" s="5" t="n">
        <f aca="false">G64-D64-K64</f>
        <v>4</v>
      </c>
    </row>
    <row r="65" customFormat="false" ht="12.8" hidden="false" customHeight="false" outlineLevel="0" collapsed="false">
      <c r="A65" s="5" t="str">
        <f aca="false">Генераторы!A$2</f>
        <v>SG-2KT</v>
      </c>
      <c r="B65" s="5" t="n">
        <f aca="false">Генераторы!B$2</f>
        <v>10</v>
      </c>
      <c r="C65" s="5" t="str">
        <f aca="false">Генераторы!C$2</f>
        <v>3+</v>
      </c>
      <c r="D65" s="5" t="n">
        <f aca="false">Генераторы!D$2</f>
        <v>2</v>
      </c>
      <c r="E65" s="5" t="str">
        <f aca="false">Двигатели!A$2</f>
        <v>LQB-S</v>
      </c>
      <c r="F65" s="5" t="n">
        <f aca="false">Двигатели!B$2</f>
        <v>3</v>
      </c>
      <c r="G65" s="5" t="n">
        <f aca="false">Двигатели!C$2</f>
        <v>16</v>
      </c>
      <c r="H65" s="1" t="str">
        <f aca="false">Орудия!A$9</f>
        <v>BT-D спаренный "молот"</v>
      </c>
      <c r="I65" s="1" t="str">
        <f aca="false">Орудия!B$9</f>
        <v>Болт</v>
      </c>
      <c r="J65" s="1" t="n">
        <f aca="false">Орудия!C$9</f>
        <v>8</v>
      </c>
      <c r="K65" s="1" t="n">
        <f aca="false">Орудия!D$9</f>
        <v>5</v>
      </c>
      <c r="L65" s="5" t="str">
        <f aca="false">Орудия!E$9</f>
        <v>12/24'</v>
      </c>
      <c r="M65" s="5" t="n">
        <f aca="false">B65-F65-J65</f>
        <v>-1</v>
      </c>
      <c r="N65" s="5" t="n">
        <f aca="false">G65-D65-K65</f>
        <v>9</v>
      </c>
    </row>
    <row r="66" customFormat="false" ht="12.8" hidden="false" customHeight="false" outlineLevel="0" collapsed="false">
      <c r="A66" s="5" t="str">
        <f aca="false">Генераторы!A$3</f>
        <v>SG-3KT</v>
      </c>
      <c r="B66" s="5" t="n">
        <f aca="false">Генераторы!B$3</f>
        <v>15</v>
      </c>
      <c r="C66" s="5" t="str">
        <f aca="false">Генераторы!C$3</f>
        <v>3+</v>
      </c>
      <c r="D66" s="5" t="n">
        <f aca="false">Генераторы!D$3</f>
        <v>3</v>
      </c>
      <c r="E66" s="5" t="str">
        <f aca="false">Двигатели!A$2</f>
        <v>LQB-S</v>
      </c>
      <c r="F66" s="5" t="n">
        <f aca="false">Двигатели!B$2</f>
        <v>3</v>
      </c>
      <c r="G66" s="5" t="n">
        <f aca="false">Двигатели!C$2</f>
        <v>16</v>
      </c>
      <c r="H66" s="1" t="str">
        <f aca="false">Орудия!A$9</f>
        <v>BT-D спаренный "молот"</v>
      </c>
      <c r="I66" s="1" t="str">
        <f aca="false">Орудия!B$9</f>
        <v>Болт</v>
      </c>
      <c r="J66" s="1" t="n">
        <f aca="false">Орудия!C$9</f>
        <v>8</v>
      </c>
      <c r="K66" s="1" t="n">
        <f aca="false">Орудия!D$9</f>
        <v>5</v>
      </c>
      <c r="L66" s="5" t="str">
        <f aca="false">Орудия!E$9</f>
        <v>12/24'</v>
      </c>
      <c r="M66" s="5" t="n">
        <f aca="false">B66-F66-J66</f>
        <v>4</v>
      </c>
      <c r="N66" s="5" t="n">
        <f aca="false">G66-D66-K66</f>
        <v>8</v>
      </c>
    </row>
    <row r="67" customFormat="false" ht="12.8" hidden="false" customHeight="false" outlineLevel="0" collapsed="false">
      <c r="A67" s="5" t="str">
        <f aca="false">Генераторы!A$4</f>
        <v>SG-8KT</v>
      </c>
      <c r="B67" s="5" t="n">
        <f aca="false">Генераторы!B$4</f>
        <v>20</v>
      </c>
      <c r="C67" s="5" t="str">
        <f aca="false">Генераторы!C$4</f>
        <v>4+</v>
      </c>
      <c r="D67" s="5" t="n">
        <f aca="false">Генераторы!D$4</f>
        <v>8</v>
      </c>
      <c r="E67" s="5" t="str">
        <f aca="false">Двигатели!A$2</f>
        <v>LQB-S</v>
      </c>
      <c r="F67" s="5" t="n">
        <f aca="false">Двигатели!B$2</f>
        <v>3</v>
      </c>
      <c r="G67" s="5" t="n">
        <f aca="false">Двигатели!C$2</f>
        <v>16</v>
      </c>
      <c r="H67" s="1" t="str">
        <f aca="false">Орудия!A$9</f>
        <v>BT-D спаренный "молот"</v>
      </c>
      <c r="I67" s="1" t="str">
        <f aca="false">Орудия!B$9</f>
        <v>Болт</v>
      </c>
      <c r="J67" s="1" t="n">
        <f aca="false">Орудия!C$9</f>
        <v>8</v>
      </c>
      <c r="K67" s="1" t="n">
        <f aca="false">Орудия!D$9</f>
        <v>5</v>
      </c>
      <c r="L67" s="5" t="str">
        <f aca="false">Орудия!E$9</f>
        <v>12/24'</v>
      </c>
      <c r="M67" s="5" t="n">
        <f aca="false">B67-F67-J67</f>
        <v>9</v>
      </c>
      <c r="N67" s="5" t="n">
        <f aca="false">G67-D67-K67</f>
        <v>3</v>
      </c>
    </row>
    <row r="68" customFormat="false" ht="12.8" hidden="false" customHeight="false" outlineLevel="0" collapsed="false">
      <c r="A68" s="5" t="str">
        <f aca="false">Генераторы!A$2</f>
        <v>SG-2KT</v>
      </c>
      <c r="B68" s="5" t="n">
        <f aca="false">Генераторы!B$2</f>
        <v>10</v>
      </c>
      <c r="C68" s="5" t="str">
        <f aca="false">Генераторы!C$2</f>
        <v>3+</v>
      </c>
      <c r="D68" s="5" t="n">
        <f aca="false">Генераторы!D$2</f>
        <v>2</v>
      </c>
      <c r="E68" s="5" t="str">
        <f aca="false">Двигатели!A$3</f>
        <v>LQB-M</v>
      </c>
      <c r="F68" s="5" t="n">
        <f aca="false">Двигатели!B$3</f>
        <v>6</v>
      </c>
      <c r="G68" s="5" t="n">
        <f aca="false">Двигатели!C$3</f>
        <v>18</v>
      </c>
      <c r="H68" s="1" t="str">
        <f aca="false">Орудия!A$9</f>
        <v>BT-D спаренный "молот"</v>
      </c>
      <c r="I68" s="1" t="str">
        <f aca="false">Орудия!B$9</f>
        <v>Болт</v>
      </c>
      <c r="J68" s="1" t="n">
        <f aca="false">Орудия!C$9</f>
        <v>8</v>
      </c>
      <c r="K68" s="1" t="n">
        <f aca="false">Орудия!D$9</f>
        <v>5</v>
      </c>
      <c r="L68" s="5" t="str">
        <f aca="false">Орудия!E$9</f>
        <v>12/24'</v>
      </c>
      <c r="M68" s="5" t="n">
        <f aca="false">B68-F68-J68</f>
        <v>-4</v>
      </c>
      <c r="N68" s="5" t="n">
        <f aca="false">G68-D68-K68</f>
        <v>11</v>
      </c>
    </row>
    <row r="69" customFormat="false" ht="12.8" hidden="false" customHeight="false" outlineLevel="0" collapsed="false">
      <c r="A69" s="5" t="str">
        <f aca="false">Генераторы!A$3</f>
        <v>SG-3KT</v>
      </c>
      <c r="B69" s="5" t="n">
        <f aca="false">Генераторы!B$3</f>
        <v>15</v>
      </c>
      <c r="C69" s="5" t="str">
        <f aca="false">Генераторы!C$3</f>
        <v>3+</v>
      </c>
      <c r="D69" s="5" t="n">
        <f aca="false">Генераторы!D$3</f>
        <v>3</v>
      </c>
      <c r="E69" s="5" t="str">
        <f aca="false">Двигатели!A$3</f>
        <v>LQB-M</v>
      </c>
      <c r="F69" s="5" t="n">
        <f aca="false">Двигатели!B$3</f>
        <v>6</v>
      </c>
      <c r="G69" s="5" t="n">
        <f aca="false">Двигатели!C$3</f>
        <v>18</v>
      </c>
      <c r="H69" s="1" t="str">
        <f aca="false">Орудия!A$9</f>
        <v>BT-D спаренный "молот"</v>
      </c>
      <c r="I69" s="1" t="str">
        <f aca="false">Орудия!B$9</f>
        <v>Болт</v>
      </c>
      <c r="J69" s="1" t="n">
        <f aca="false">Орудия!C$9</f>
        <v>8</v>
      </c>
      <c r="K69" s="1" t="n">
        <f aca="false">Орудия!D$9</f>
        <v>5</v>
      </c>
      <c r="L69" s="5" t="str">
        <f aca="false">Орудия!E$9</f>
        <v>12/24'</v>
      </c>
      <c r="M69" s="5" t="n">
        <f aca="false">B69-F69-J69</f>
        <v>1</v>
      </c>
      <c r="N69" s="5" t="n">
        <f aca="false">G69-D69-K69</f>
        <v>10</v>
      </c>
    </row>
    <row r="70" customFormat="false" ht="12.8" hidden="false" customHeight="false" outlineLevel="0" collapsed="false">
      <c r="A70" s="5" t="str">
        <f aca="false">Генераторы!A$4</f>
        <v>SG-8KT</v>
      </c>
      <c r="B70" s="5" t="n">
        <f aca="false">Генераторы!B$4</f>
        <v>20</v>
      </c>
      <c r="C70" s="5" t="str">
        <f aca="false">Генераторы!C$4</f>
        <v>4+</v>
      </c>
      <c r="D70" s="5" t="n">
        <f aca="false">Генераторы!D$4</f>
        <v>8</v>
      </c>
      <c r="E70" s="5" t="str">
        <f aca="false">Двигатели!A$3</f>
        <v>LQB-M</v>
      </c>
      <c r="F70" s="5" t="n">
        <f aca="false">Двигатели!B$3</f>
        <v>6</v>
      </c>
      <c r="G70" s="5" t="n">
        <f aca="false">Двигатели!C$3</f>
        <v>18</v>
      </c>
      <c r="H70" s="1" t="str">
        <f aca="false">Орудия!A$9</f>
        <v>BT-D спаренный "молот"</v>
      </c>
      <c r="I70" s="1" t="str">
        <f aca="false">Орудия!B$9</f>
        <v>Болт</v>
      </c>
      <c r="J70" s="1" t="n">
        <f aca="false">Орудия!C$9</f>
        <v>8</v>
      </c>
      <c r="K70" s="1" t="n">
        <f aca="false">Орудия!D$9</f>
        <v>5</v>
      </c>
      <c r="L70" s="5" t="str">
        <f aca="false">Орудия!E$9</f>
        <v>12/24'</v>
      </c>
      <c r="M70" s="5" t="n">
        <f aca="false">B70-F70-J70</f>
        <v>6</v>
      </c>
      <c r="N70" s="5" t="n">
        <f aca="false">G70-D70-K70</f>
        <v>5</v>
      </c>
    </row>
    <row r="71" customFormat="false" ht="12.8" hidden="false" customHeight="false" outlineLevel="0" collapsed="false">
      <c r="A71" s="5" t="str">
        <f aca="false">Генераторы!A$2</f>
        <v>SG-2KT</v>
      </c>
      <c r="B71" s="5" t="n">
        <f aca="false">Генераторы!B$2</f>
        <v>10</v>
      </c>
      <c r="C71" s="5" t="str">
        <f aca="false">Генераторы!C$2</f>
        <v>3+</v>
      </c>
      <c r="D71" s="5" t="n">
        <f aca="false">Генераторы!D$2</f>
        <v>2</v>
      </c>
      <c r="E71" s="5" t="str">
        <f aca="false">Двигатели!A$4</f>
        <v>LQB-L</v>
      </c>
      <c r="F71" s="5" t="n">
        <f aca="false">Двигатели!B$4</f>
        <v>10</v>
      </c>
      <c r="G71" s="5" t="n">
        <f aca="false">Двигатели!C$4</f>
        <v>20</v>
      </c>
      <c r="H71" s="1" t="str">
        <f aca="false">Орудия!A$9</f>
        <v>BT-D спаренный "молот"</v>
      </c>
      <c r="I71" s="1" t="str">
        <f aca="false">Орудия!B$9</f>
        <v>Болт</v>
      </c>
      <c r="J71" s="1" t="n">
        <f aca="false">Орудия!C$9</f>
        <v>8</v>
      </c>
      <c r="K71" s="1" t="n">
        <f aca="false">Орудия!D$9</f>
        <v>5</v>
      </c>
      <c r="L71" s="5" t="str">
        <f aca="false">Орудия!E$9</f>
        <v>12/24'</v>
      </c>
      <c r="M71" s="5" t="n">
        <f aca="false">B71-F71-J71</f>
        <v>-8</v>
      </c>
      <c r="N71" s="5" t="n">
        <f aca="false">G71-D71-K71</f>
        <v>13</v>
      </c>
    </row>
    <row r="72" customFormat="false" ht="12.8" hidden="false" customHeight="false" outlineLevel="0" collapsed="false">
      <c r="A72" s="5" t="str">
        <f aca="false">Генераторы!A$3</f>
        <v>SG-3KT</v>
      </c>
      <c r="B72" s="5" t="n">
        <f aca="false">Генераторы!B$3</f>
        <v>15</v>
      </c>
      <c r="C72" s="5" t="str">
        <f aca="false">Генераторы!C$3</f>
        <v>3+</v>
      </c>
      <c r="D72" s="5" t="n">
        <f aca="false">Генераторы!D$3</f>
        <v>3</v>
      </c>
      <c r="E72" s="5" t="str">
        <f aca="false">Двигатели!A$4</f>
        <v>LQB-L</v>
      </c>
      <c r="F72" s="5" t="n">
        <f aca="false">Двигатели!B$4</f>
        <v>10</v>
      </c>
      <c r="G72" s="5" t="n">
        <f aca="false">Двигатели!C$4</f>
        <v>20</v>
      </c>
      <c r="H72" s="1" t="str">
        <f aca="false">Орудия!A$9</f>
        <v>BT-D спаренный "молот"</v>
      </c>
      <c r="I72" s="1" t="str">
        <f aca="false">Орудия!B$9</f>
        <v>Болт</v>
      </c>
      <c r="J72" s="1" t="n">
        <f aca="false">Орудия!C$9</f>
        <v>8</v>
      </c>
      <c r="K72" s="1" t="n">
        <f aca="false">Орудия!D$9</f>
        <v>5</v>
      </c>
      <c r="L72" s="5" t="str">
        <f aca="false">Орудия!E$9</f>
        <v>12/24'</v>
      </c>
      <c r="M72" s="5" t="n">
        <f aca="false">B72-F72-J72</f>
        <v>-3</v>
      </c>
      <c r="N72" s="5" t="n">
        <f aca="false">G72-D72-K72</f>
        <v>12</v>
      </c>
    </row>
    <row r="73" customFormat="false" ht="12.8" hidden="false" customHeight="false" outlineLevel="0" collapsed="false">
      <c r="A73" s="5" t="str">
        <f aca="false">Генераторы!A$4</f>
        <v>SG-8KT</v>
      </c>
      <c r="B73" s="5" t="n">
        <f aca="false">Генераторы!B$4</f>
        <v>20</v>
      </c>
      <c r="C73" s="5" t="str">
        <f aca="false">Генераторы!C$4</f>
        <v>4+</v>
      </c>
      <c r="D73" s="5" t="n">
        <f aca="false">Генераторы!D$4</f>
        <v>8</v>
      </c>
      <c r="E73" s="5" t="str">
        <f aca="false">Двигатели!A$4</f>
        <v>LQB-L</v>
      </c>
      <c r="F73" s="5" t="n">
        <f aca="false">Двигатели!B$4</f>
        <v>10</v>
      </c>
      <c r="G73" s="5" t="n">
        <f aca="false">Двигатели!C$4</f>
        <v>20</v>
      </c>
      <c r="H73" s="1" t="str">
        <f aca="false">Орудия!A$9</f>
        <v>BT-D спаренный "молот"</v>
      </c>
      <c r="I73" s="1" t="str">
        <f aca="false">Орудия!B$9</f>
        <v>Болт</v>
      </c>
      <c r="J73" s="1" t="n">
        <f aca="false">Орудия!C$9</f>
        <v>8</v>
      </c>
      <c r="K73" s="1" t="n">
        <f aca="false">Орудия!D$9</f>
        <v>5</v>
      </c>
      <c r="L73" s="5" t="str">
        <f aca="false">Орудия!E$9</f>
        <v>12/24'</v>
      </c>
      <c r="M73" s="5" t="n">
        <f aca="false">B73-F73-J73</f>
        <v>2</v>
      </c>
      <c r="N73" s="5" t="n">
        <f aca="false">G73-D73-K73</f>
        <v>7</v>
      </c>
    </row>
  </sheetData>
  <autoFilter ref="A1:N7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2026-08-30T11:02:56Z</dcterms:created>
  <dc:creator/>
  <dc:description/>
  <dc:language>ru-RU</dc:language>
  <cp:lastModifiedBy/>
  <dcterms:modified xsi:type="dcterms:W3CDTF">2026-09-07T17:13:57Z</dcterms:modified>
  <cp:revision>223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