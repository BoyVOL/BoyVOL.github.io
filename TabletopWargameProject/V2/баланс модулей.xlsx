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Генераторы" sheetId="1" state="visible" r:id="rId3"/>
    <sheet name="Двигатели" sheetId="2" state="visible" r:id="rId4"/>
    <sheet name="Орудия" sheetId="3" state="visible" r:id="rId5"/>
    <sheet name="Снаряды" sheetId="4" state="visible" r:id="rId6"/>
    <sheet name="Модули" sheetId="5" state="visible" r:id="rId7"/>
    <sheet name="Сводная таблица базовых констру" sheetId="6" state="visible" r:id="rId8"/>
  </sheets>
  <definedNames>
    <definedName function="false" hidden="true" localSheetId="0" name="_xlnm._FilterDatabase" vbProcedure="false">Генераторы!$A$1:$G$4</definedName>
    <definedName function="false" hidden="true" localSheetId="1" name="_xlnm._FilterDatabase" vbProcedure="false">Двигатели!$A$1:$E$5</definedName>
    <definedName function="false" hidden="true" localSheetId="2" name="_xlnm._FilterDatabase" vbProcedure="false">Орудия!$A$1:$G$9</definedName>
    <definedName function="false" hidden="true" localSheetId="5" name="_xlnm._FilterDatabase" vbProcedure="false">'Сводная таблица базовых констру'!$A$1:$P$73</definedName>
    <definedName function="false" hidden="false" localSheetId="0" name="Генераторы" vbProcedure="false">Генераторы!$A$1:$G$4</definedName>
    <definedName function="false" hidden="false" localSheetId="0" name="Двигатели" vbProcedure="false">Генераторы!$A$1:$E$4</definedName>
    <definedName function="false" hidden="false" localSheetId="0" name="Орудия" vbProcedure="false">Генераторы!$A$1:$G$9</definedName>
    <definedName function="false" hidden="false" localSheetId="1" name="Генераторы" vbProcedure="false">Двигатели!$A$1:$G$4</definedName>
    <definedName function="false" hidden="false" localSheetId="1" name="Двигатели" vbProcedure="false">Двигатели!$A$1:$E$4</definedName>
    <definedName function="false" hidden="false" localSheetId="1" name="Орудия" vbProcedure="false">Двигатели!$A$1:$G$9</definedName>
    <definedName function="false" hidden="false" localSheetId="2" name="Генераторы" vbProcedure="false">Орудия!$A$1:$G$4</definedName>
    <definedName function="false" hidden="false" localSheetId="2" name="Двигатели" vbProcedure="false">Орудия!$A$1:$F$4</definedName>
    <definedName function="false" hidden="false" localSheetId="2" name="Орудия" vbProcedure="false">Орудия!$A$1:$G$9</definedName>
  </definedNames>
  <calcPr iterateCount="100" refMode="A1" iterate="false" iterateDelta="0.001"/>
  <extLst>
    <ext xmlns:loext="http://schemas.libreoffice.org/" uri="{7626C862-2A13-11E5-B345-FEFF819CDC9F}">
      <loext:extCalcPr stringRefSyntax="CalcA1ExcelA1"/>
    </ext>
  </extLst>
</workbook>
</file>

<file path=xl/sharedStrings.xml><?xml version="1.0" encoding="utf-8"?>
<sst xmlns="http://schemas.openxmlformats.org/spreadsheetml/2006/main" count="155" uniqueCount="113">
  <si>
    <t xml:space="preserve">Название генератора</t>
  </si>
  <si>
    <t xml:space="preserve">Очки Энергии</t>
  </si>
  <si>
    <t xml:space="preserve">Бросок на защиту щита</t>
  </si>
  <si>
    <t xml:space="preserve">Изменение манёвренности</t>
  </si>
  <si>
    <t xml:space="preserve">Дополнительные свойства</t>
  </si>
  <si>
    <t xml:space="preserve">Совместимость двигателей</t>
  </si>
  <si>
    <t xml:space="preserve">Стоимость реквизиций</t>
  </si>
  <si>
    <t xml:space="preserve">SG-2KT</t>
  </si>
  <si>
    <t xml:space="preserve">3+</t>
  </si>
  <si>
    <t xml:space="preserve">-</t>
  </si>
  <si>
    <t xml:space="preserve">Серия LQ-B</t>
  </si>
  <si>
    <t xml:space="preserve">SG-3KT</t>
  </si>
  <si>
    <t xml:space="preserve">SG-8KT</t>
  </si>
  <si>
    <t xml:space="preserve">4+</t>
  </si>
  <si>
    <t xml:space="preserve">Название двигателя</t>
  </si>
  <si>
    <t xml:space="preserve">Потребление энергии</t>
  </si>
  <si>
    <t xml:space="preserve">Общий запас манёвренности</t>
  </si>
  <si>
    <t xml:space="preserve">LQB-S</t>
  </si>
  <si>
    <t xml:space="preserve">LQB-M</t>
  </si>
  <si>
    <t xml:space="preserve">LQB-L</t>
  </si>
  <si>
    <t xml:space="preserve">Название орудия</t>
  </si>
  <si>
    <t xml:space="preserve">Тип снаряда</t>
  </si>
  <si>
    <t xml:space="preserve">Дальность стрельбы</t>
  </si>
  <si>
    <t xml:space="preserve">H-RP-10</t>
  </si>
  <si>
    <t xml:space="preserve">Кристалл</t>
  </si>
  <si>
    <t xml:space="preserve">15/25'</t>
  </si>
  <si>
    <t xml:space="preserve">Луч</t>
  </si>
  <si>
    <t xml:space="preserve">BT-4</t>
  </si>
  <si>
    <t xml:space="preserve">Болт</t>
  </si>
  <si>
    <t xml:space="preserve">12/24'</t>
  </si>
  <si>
    <t xml:space="preserve">MC-3</t>
  </si>
  <si>
    <t xml:space="preserve">ракета</t>
  </si>
  <si>
    <t xml:space="preserve">8/18'</t>
  </si>
  <si>
    <t xml:space="preserve">RP-4</t>
  </si>
  <si>
    <t xml:space="preserve">8/16'</t>
  </si>
  <si>
    <t xml:space="preserve">H-BT-10</t>
  </si>
  <si>
    <t xml:space="preserve">тяж. Болт</t>
  </si>
  <si>
    <t xml:space="preserve">18/32'</t>
  </si>
  <si>
    <t xml:space="preserve">L-MC-2</t>
  </si>
  <si>
    <t xml:space="preserve">Лёгкая ракета</t>
  </si>
  <si>
    <t xml:space="preserve">FTL-BT-14</t>
  </si>
  <si>
    <t xml:space="preserve">FTL-болт</t>
  </si>
  <si>
    <t xml:space="preserve">-/40'</t>
  </si>
  <si>
    <t xml:space="preserve">Медленное,  Перегрузка </t>
  </si>
  <si>
    <t xml:space="preserve">TW-BT-4</t>
  </si>
  <si>
    <t xml:space="preserve">Автомат </t>
  </si>
  <si>
    <t xml:space="preserve">Свойство</t>
  </si>
  <si>
    <t xml:space="preserve">Описание:</t>
  </si>
  <si>
    <t xml:space="preserve">Это орудие может стрелять до двух раз за этап движения вместо одного. </t>
  </si>
  <si>
    <t xml:space="preserve">Гатлинг</t>
  </si>
  <si>
    <t xml:space="preserve">Это орудие может стрелять до трёх раз за этап движения вместо одного. </t>
  </si>
  <si>
    <t xml:space="preserve">Медленное </t>
  </si>
  <si>
    <t xml:space="preserve">Это оружие может стрелять только один раз за весь ход. Так же оно не может стрелять в первом этапе движения. </t>
  </si>
  <si>
    <t xml:space="preserve">Перегрузка </t>
  </si>
  <si>
    <t xml:space="preserve">чтобы стрелять из этого орудия, вы можете расходовать только треть очков манёвра в данном этапе движения (если у орудия есть правило "медленный" - во всех этапах движения хода корабля) </t>
  </si>
  <si>
    <t xml:space="preserve">Данное орудие может стрелять прямой наводкой и в дальнем радиусе. Если вы стреляете по цели в дальнем радиусе — урон снаряда, испольтзуемого для стрельбы, ухудшается на 2, а бросок попадания ухудшается на 1.</t>
  </si>
  <si>
    <t xml:space="preserve">Название снаряда</t>
  </si>
  <si>
    <t xml:space="preserve">Тип (T)</t>
  </si>
  <si>
    <t xml:space="preserve">Точность (Ac)</t>
  </si>
  <si>
    <t xml:space="preserve">Урон (D)</t>
  </si>
  <si>
    <t xml:space="preserve">Свойства</t>
  </si>
  <si>
    <t xml:space="preserve">Стоимость реквизиций </t>
  </si>
  <si>
    <t xml:space="preserve">Свойство:</t>
  </si>
  <si>
    <t xml:space="preserve">Кинетик</t>
  </si>
  <si>
    <t xml:space="preserve">если вы стреляете этим снарядом прямой наводкой, возьмите компас и по очереди поставьте его на место стреляющего корабля и цели, так чтобы он был направлен передом в сторону оппонента.</t>
  </si>
  <si>
    <t xml:space="preserve">Если маркер скорости как цели, так и стреляющего оказался в передней арке компаса - при успешном попадании снаряд получит +2 к урону, а сейв-бросок щита цели  ухудшается на 1.</t>
  </si>
  <si>
    <t xml:space="preserve">Без наводки </t>
  </si>
  <si>
    <t xml:space="preserve">Этим снарядом можно стрелять только прямой наводкой.</t>
  </si>
  <si>
    <t xml:space="preserve">Манёвр X </t>
  </si>
  <si>
    <t xml:space="preserve">Жетон данного боеприпаса может перемещаться во вторичную фазу ходов. В данном случае X - количество дюймов, на которое можно переместить жетон. Не имеет значения, какой стороной вверх он лежит. </t>
  </si>
  <si>
    <t xml:space="preserve">FTL </t>
  </si>
  <si>
    <t xml:space="preserve">Если стрельба производится в режиме маркера, кладите снаряд сразу активной стороной вверх. Если выстрел производится прямой наводкой, игнорируйте статус "уклонения" цели. Цель не откидывает сейв щита при попадании данным снарядом. Стрельба данным снарядом накладывает на корабль статус «перегрузка»</t>
  </si>
  <si>
    <t xml:space="preserve">Шрапнель</t>
  </si>
  <si>
    <t xml:space="preserve">Маркер данного снаряда не убирается после того как был разыгран выстрел по вошедшей в его зону действия цели. Вместо этого уберите маркер данного снаряда только в фазу "очистки жетонов" игрового раунда. </t>
  </si>
  <si>
    <t xml:space="preserve">Так же в радиусе прямой наводки вместо «прямой» стрельбы данным снарядом можно отыграть стрельбу в режиме маркера.</t>
  </si>
  <si>
    <t xml:space="preserve">ЕМП</t>
  </si>
  <si>
    <t xml:space="preserve">Попадание этим снарядом накладывает статус «перегрузки» </t>
  </si>
  <si>
    <t xml:space="preserve">Импульс X</t>
  </si>
  <si>
    <t xml:space="preserve">Этот снаряд применяет при попадании по цели ускорение X дюймов в сторону прямо от маркера (если попадание произошло от маркера) либо от стреляющего (если стрельба производилась прямой наводкой)</t>
  </si>
  <si>
    <t xml:space="preserve">Тяга X</t>
  </si>
  <si>
    <t xml:space="preserve">Этот снаряд применяет при попадании по цели ускорение X дюймов в сторону прямо К маркеру (если попадание произошло от маркера) либо к стреляющему (если стрельба производилась прямой наводкой)</t>
  </si>
  <si>
    <t xml:space="preserve">Зона</t>
  </si>
  <si>
    <t xml:space="preserve">Данным снарядом нельзя стрелять прямой наводкой. Так же снаряд применяет все эффекты к цели сразу без необходимости в броске на попадание.</t>
  </si>
  <si>
    <t xml:space="preserve">Антиварп</t>
  </si>
  <si>
    <t xml:space="preserve">Пока жетон снаряда активен, сверхсветовой прыжок, совершаемый через его зону действия, завершается раньше времени. Корабль при этом оказывается на точке входа в зону действия снаряда. Считается, что на момент завершения прыжка он сразу попадает в зону действия.</t>
  </si>
  <si>
    <t xml:space="preserve">Название модуля</t>
  </si>
  <si>
    <t xml:space="preserve">Потребление энергии </t>
  </si>
  <si>
    <t xml:space="preserve">Изменение манёвренности </t>
  </si>
  <si>
    <t xml:space="preserve">Облегчение конструкции</t>
  </si>
  <si>
    <t xml:space="preserve">+1</t>
  </si>
  <si>
    <t xml:space="preserve">Бесплотный</t>
  </si>
  <si>
    <t xml:space="preserve">Многослойное армирование</t>
  </si>
  <si>
    <t xml:space="preserve">-1</t>
  </si>
  <si>
    <t xml:space="preserve">Броня 2</t>
  </si>
  <si>
    <t xml:space="preserve">Вспомогательная турель BT-4</t>
  </si>
  <si>
    <t xml:space="preserve">5</t>
  </si>
  <si>
    <t xml:space="preserve">ПМК R 12 В 2 Ac 4+</t>
  </si>
  <si>
    <t xml:space="preserve">Урон проходит сквозь эту ячейку модуля. Вместо крита в данную ячейку отыграйте крит во внутренние модули</t>
  </si>
  <si>
    <t xml:space="preserve">Броня X:</t>
  </si>
  <si>
    <t xml:space="preserve">Данный модуль функционирует как дополнительная броня. X — количество ячеек дополнительной брони. Вместо крит попадания по одному из модулей в данной секции отметьте одну ячейку брони этого модуля как уничтоженную.</t>
  </si>
  <si>
    <t xml:space="preserve">ПМК R-x D-y Ac-z</t>
  </si>
  <si>
    <t xml:space="preserve">Этот модуль является вспомогательным орудием и может производить один выстрел в этап движения. Орудие может стрелять только прямой наводкой. Значение R это дальность стрельбы. D это урон орудия. Ac это бросок на точность попадания из данного орудия. По умолчанию все орудия ПМК могут стрелять в передней, левой и правой арках.</t>
  </si>
  <si>
    <t xml:space="preserve">Очки Энергии генератора</t>
  </si>
  <si>
    <t xml:space="preserve">Изменение манёвренности генератора</t>
  </si>
  <si>
    <t xml:space="preserve">Доп свойства генераторов</t>
  </si>
  <si>
    <t xml:space="preserve">Потребление энергии Двигателя</t>
  </si>
  <si>
    <t xml:space="preserve">Общий запас манёвренности двигателя</t>
  </si>
  <si>
    <t xml:space="preserve">Потребление энергии орудия</t>
  </si>
  <si>
    <t xml:space="preserve">Изменение манёвренности орудия</t>
  </si>
  <si>
    <t xml:space="preserve">Дальность стрельбы орудия</t>
  </si>
  <si>
    <t xml:space="preserve">Доп свойства орудий</t>
  </si>
  <si>
    <t xml:space="preserve">Итоговая энергия</t>
  </si>
  <si>
    <t xml:space="preserve">Итоговая манёвренность</t>
  </si>
</sst>
</file>

<file path=xl/styles.xml><?xml version="1.0" encoding="utf-8"?>
<styleSheet xmlns="http://schemas.openxmlformats.org/spreadsheetml/2006/main">
  <numFmts count="2">
    <numFmt numFmtId="164" formatCode="General"/>
    <numFmt numFmtId="165" formatCode="@"/>
  </numFmts>
  <fonts count="7">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sz val="10"/>
      <color rgb="FF000000"/>
      <name val="Times New Roman"/>
      <family val="0"/>
      <charset val="1"/>
    </font>
    <font>
      <b val="true"/>
      <sz val="10"/>
      <color rgb="FFFFFFFF"/>
      <name val="Arial"/>
      <family val="0"/>
      <charset val="1"/>
    </font>
  </fonts>
  <fills count="3">
    <fill>
      <patternFill patternType="none"/>
    </fill>
    <fill>
      <patternFill patternType="gray125"/>
    </fill>
    <fill>
      <patternFill patternType="solid">
        <fgColor rgb="FF000000"/>
        <bgColor rgb="FF003300"/>
      </patternFill>
    </fill>
  </fills>
  <borders count="1">
    <border diagonalUp="false" diagonalDown="false">
      <left/>
      <right/>
      <top/>
      <bottom/>
      <diagonal/>
    </border>
  </borders>
  <cellStyleXfs count="2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left"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4" fillId="0" borderId="0" applyFont="true" applyBorder="false" applyAlignment="true" applyProtection="false">
      <alignment horizontal="general" vertical="bottom" textRotation="0" wrapText="false" indent="0" shrinkToFit="false"/>
    </xf>
    <xf numFmtId="164" fontId="0" fillId="0" borderId="0" applyFont="true" applyBorder="false" applyAlignment="true" applyProtection="false">
      <alignment horizontal="general" vertical="bottom" textRotation="0" wrapText="false" indent="0" shrinkToFit="false"/>
    </xf>
    <xf numFmtId="164" fontId="6" fillId="2" borderId="0" applyFont="true" applyBorder="false" applyAlignment="true" applyProtection="false">
      <alignment horizontal="general" vertical="bottom" textRotation="0" wrapText="false" indent="0" shrinkToFit="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5"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6" fillId="2" borderId="0" xfId="26" applyFont="true" applyBorder="true" applyAlignment="true" applyProtection="true">
      <alignment horizontal="general" vertical="bottom" textRotation="0" wrapText="true" indent="0" shrinkToFit="false"/>
      <protection locked="true" hidden="false"/>
    </xf>
  </cellXfs>
  <cellStyles count="13">
    <cellStyle name="Normal" xfId="0" builtinId="0"/>
    <cellStyle name="Comma" xfId="15" builtinId="3"/>
    <cellStyle name="Comma [0]" xfId="16" builtinId="6"/>
    <cellStyle name="Currency" xfId="17" builtinId="4"/>
    <cellStyle name="Currency [0]" xfId="18" builtinId="7"/>
    <cellStyle name="Percent" xfId="19" builtinId="5"/>
    <cellStyle name="Заглавие сводной таблицы" xfId="20"/>
    <cellStyle name="Значение сводной таблицы" xfId="21"/>
    <cellStyle name="Категория сводной таблицы" xfId="22"/>
    <cellStyle name="Поле сводной таблицы" xfId="23"/>
    <cellStyle name="Результат сводной таблицы" xfId="24"/>
    <cellStyle name="Угол сводной таблицы" xfId="25"/>
    <cellStyle name="Акцент 1" xfId="26"/>
  </cellStyles>
  <dxfs count="3">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E4" activeCellId="0" sqref="E4"/>
    </sheetView>
  </sheetViews>
  <sheetFormatPr defaultColWidth="8.65234375" defaultRowHeight="12.75" customHeight="false" zeroHeight="false" outlineLevelRow="0" outlineLevelCol="0"/>
  <cols>
    <col collapsed="false" customWidth="true" hidden="false" outlineLevel="0" max="2" min="1" style="1" width="11.49"/>
    <col collapsed="false" customWidth="true" hidden="false" outlineLevel="0" max="3" min="3" style="2" width="11.49"/>
    <col collapsed="false" customWidth="true" hidden="false" outlineLevel="0" max="7" min="4" style="1" width="11.49"/>
    <col collapsed="false" customWidth="false" hidden="false" outlineLevel="0" max="16384" min="8" style="1" width="8.65"/>
  </cols>
  <sheetData>
    <row r="1" customFormat="false" ht="46.25" hidden="false" customHeight="false" outlineLevel="0" collapsed="false">
      <c r="A1" s="3" t="s">
        <v>0</v>
      </c>
      <c r="B1" s="3" t="s">
        <v>1</v>
      </c>
      <c r="C1" s="4" t="s">
        <v>2</v>
      </c>
      <c r="D1" s="3" t="s">
        <v>3</v>
      </c>
      <c r="E1" s="3" t="s">
        <v>4</v>
      </c>
      <c r="F1" s="3" t="s">
        <v>5</v>
      </c>
      <c r="G1" s="3" t="s">
        <v>6</v>
      </c>
    </row>
    <row r="2" customFormat="false" ht="12.75" hidden="false" customHeight="false" outlineLevel="0" collapsed="false">
      <c r="A2" s="3" t="s">
        <v>7</v>
      </c>
      <c r="B2" s="5" t="n">
        <v>10</v>
      </c>
      <c r="C2" s="4" t="s">
        <v>8</v>
      </c>
      <c r="D2" s="5" t="n">
        <v>2</v>
      </c>
      <c r="E2" s="3" t="s">
        <v>9</v>
      </c>
      <c r="F2" s="3" t="s">
        <v>10</v>
      </c>
      <c r="G2" s="3" t="n">
        <v>10</v>
      </c>
    </row>
    <row r="3" customFormat="false" ht="12.75" hidden="false" customHeight="false" outlineLevel="0" collapsed="false">
      <c r="A3" s="3" t="s">
        <v>11</v>
      </c>
      <c r="B3" s="5" t="n">
        <v>15</v>
      </c>
      <c r="C3" s="4" t="s">
        <v>8</v>
      </c>
      <c r="D3" s="5" t="n">
        <v>3</v>
      </c>
      <c r="E3" s="3" t="s">
        <v>9</v>
      </c>
      <c r="F3" s="3" t="s">
        <v>10</v>
      </c>
      <c r="G3" s="3" t="n">
        <v>20</v>
      </c>
    </row>
    <row r="4" customFormat="false" ht="12.75" hidden="false" customHeight="false" outlineLevel="0" collapsed="false">
      <c r="A4" s="3" t="s">
        <v>12</v>
      </c>
      <c r="B4" s="5" t="n">
        <v>20</v>
      </c>
      <c r="C4" s="4" t="s">
        <v>13</v>
      </c>
      <c r="D4" s="5" t="n">
        <v>8</v>
      </c>
      <c r="E4" s="3" t="s">
        <v>9</v>
      </c>
      <c r="F4" s="3" t="s">
        <v>10</v>
      </c>
      <c r="G4" s="3" t="n">
        <v>30</v>
      </c>
    </row>
  </sheetData>
  <autoFilter ref="A1:G4"/>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firstPageNumber="1" useFirstPageNumber="tru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A5" activeCellId="0" sqref="A5"/>
    </sheetView>
  </sheetViews>
  <sheetFormatPr defaultColWidth="8.65234375" defaultRowHeight="12.75" customHeight="false" zeroHeight="false" outlineLevelRow="0" outlineLevelCol="0"/>
  <cols>
    <col collapsed="false" customWidth="true" hidden="false" outlineLevel="0" max="5" min="1" style="1" width="11.49"/>
    <col collapsed="false" customWidth="false" hidden="false" outlineLevel="0" max="16384" min="6" style="1" width="8.65"/>
  </cols>
  <sheetData>
    <row r="1" customFormat="false" ht="46.25" hidden="false" customHeight="false" outlineLevel="0" collapsed="false">
      <c r="A1" s="3" t="s">
        <v>14</v>
      </c>
      <c r="B1" s="3" t="s">
        <v>15</v>
      </c>
      <c r="C1" s="3" t="s">
        <v>16</v>
      </c>
      <c r="D1" s="3" t="s">
        <v>4</v>
      </c>
      <c r="E1" s="3" t="s">
        <v>6</v>
      </c>
    </row>
    <row r="2" customFormat="false" ht="12.75" hidden="false" customHeight="false" outlineLevel="0" collapsed="false">
      <c r="A2" s="3" t="s">
        <v>17</v>
      </c>
      <c r="B2" s="5" t="n">
        <v>3</v>
      </c>
      <c r="C2" s="5" t="n">
        <v>16</v>
      </c>
      <c r="D2" s="3" t="s">
        <v>9</v>
      </c>
      <c r="E2" s="3" t="n">
        <v>24</v>
      </c>
    </row>
    <row r="3" customFormat="false" ht="12.75" hidden="false" customHeight="false" outlineLevel="0" collapsed="false">
      <c r="A3" s="3" t="s">
        <v>18</v>
      </c>
      <c r="B3" s="5" t="n">
        <v>6</v>
      </c>
      <c r="C3" s="5" t="n">
        <v>18</v>
      </c>
      <c r="D3" s="3" t="s">
        <v>9</v>
      </c>
      <c r="E3" s="3" t="n">
        <v>32</v>
      </c>
    </row>
    <row r="4" customFormat="false" ht="12.75" hidden="false" customHeight="false" outlineLevel="0" collapsed="false">
      <c r="A4" s="3" t="s">
        <v>19</v>
      </c>
      <c r="B4" s="5" t="n">
        <v>10</v>
      </c>
      <c r="C4" s="5" t="n">
        <v>20</v>
      </c>
      <c r="D4" s="3" t="s">
        <v>9</v>
      </c>
      <c r="E4" s="3" t="n">
        <v>40</v>
      </c>
    </row>
  </sheetData>
  <autoFilter ref="A1:E5"/>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B6" activeCellId="0" sqref="B6"/>
    </sheetView>
  </sheetViews>
  <sheetFormatPr defaultColWidth="8.65234375" defaultRowHeight="12.75" customHeight="false" zeroHeight="false" outlineLevelRow="0" outlineLevelCol="0"/>
  <cols>
    <col collapsed="false" customWidth="true" hidden="false" outlineLevel="0" max="7" min="1" style="1" width="11.49"/>
    <col collapsed="false" customWidth="true" hidden="false" outlineLevel="0" max="8" min="8" style="1" width="13.83"/>
    <col collapsed="false" customWidth="true" hidden="false" outlineLevel="0" max="9" min="9" style="1" width="34.16"/>
    <col collapsed="false" customWidth="false" hidden="false" outlineLevel="0" max="16384" min="10" style="1" width="8.65"/>
  </cols>
  <sheetData>
    <row r="1" customFormat="false" ht="46.25" hidden="false" customHeight="false" outlineLevel="0" collapsed="false">
      <c r="A1" s="3" t="s">
        <v>20</v>
      </c>
      <c r="B1" s="3" t="s">
        <v>21</v>
      </c>
      <c r="C1" s="3" t="s">
        <v>15</v>
      </c>
      <c r="D1" s="3" t="s">
        <v>3</v>
      </c>
      <c r="E1" s="3" t="s">
        <v>22</v>
      </c>
      <c r="F1" s="3" t="s">
        <v>4</v>
      </c>
      <c r="G1" s="3" t="s">
        <v>6</v>
      </c>
    </row>
    <row r="2" customFormat="false" ht="12.75" hidden="false" customHeight="false" outlineLevel="0" collapsed="false">
      <c r="A2" s="3" t="s">
        <v>23</v>
      </c>
      <c r="B2" s="3" t="s">
        <v>24</v>
      </c>
      <c r="C2" s="5" t="n">
        <v>10</v>
      </c>
      <c r="D2" s="5" t="n">
        <v>5</v>
      </c>
      <c r="E2" s="5" t="s">
        <v>25</v>
      </c>
      <c r="F2" s="1" t="s">
        <v>9</v>
      </c>
      <c r="G2" s="1" t="s">
        <v>26</v>
      </c>
    </row>
    <row r="3" customFormat="false" ht="12.75" hidden="false" customHeight="false" outlineLevel="0" collapsed="false">
      <c r="A3" s="3" t="s">
        <v>27</v>
      </c>
      <c r="B3" s="3" t="s">
        <v>28</v>
      </c>
      <c r="C3" s="5" t="n">
        <v>4</v>
      </c>
      <c r="D3" s="5" t="n">
        <v>4</v>
      </c>
      <c r="E3" s="5" t="s">
        <v>29</v>
      </c>
      <c r="F3" s="1" t="s">
        <v>9</v>
      </c>
    </row>
    <row r="4" customFormat="false" ht="12.75" hidden="false" customHeight="false" outlineLevel="0" collapsed="false">
      <c r="A4" s="3" t="s">
        <v>30</v>
      </c>
      <c r="B4" s="3" t="s">
        <v>31</v>
      </c>
      <c r="C4" s="5" t="n">
        <v>3</v>
      </c>
      <c r="D4" s="5" t="n">
        <v>4</v>
      </c>
      <c r="E4" s="5" t="s">
        <v>32</v>
      </c>
      <c r="F4" s="1" t="s">
        <v>9</v>
      </c>
    </row>
    <row r="5" customFormat="false" ht="12.75" hidden="false" customHeight="false" outlineLevel="0" collapsed="false">
      <c r="A5" s="3" t="s">
        <v>33</v>
      </c>
      <c r="B5" s="3" t="s">
        <v>24</v>
      </c>
      <c r="C5" s="5" t="n">
        <v>4</v>
      </c>
      <c r="D5" s="5" t="n">
        <v>4</v>
      </c>
      <c r="E5" s="5" t="s">
        <v>34</v>
      </c>
      <c r="F5" s="1" t="s">
        <v>9</v>
      </c>
      <c r="G5" s="1" t="s">
        <v>26</v>
      </c>
    </row>
    <row r="6" customFormat="false" ht="12.75" hidden="false" customHeight="false" outlineLevel="0" collapsed="false">
      <c r="A6" s="3" t="s">
        <v>35</v>
      </c>
      <c r="B6" s="3" t="s">
        <v>36</v>
      </c>
      <c r="C6" s="5" t="n">
        <v>10</v>
      </c>
      <c r="D6" s="5" t="n">
        <v>5</v>
      </c>
      <c r="E6" s="5" t="s">
        <v>37</v>
      </c>
      <c r="F6" s="1" t="s">
        <v>9</v>
      </c>
    </row>
    <row r="7" customFormat="false" ht="12.75" hidden="false" customHeight="false" outlineLevel="0" collapsed="false">
      <c r="A7" s="3" t="s">
        <v>38</v>
      </c>
      <c r="B7" s="3" t="s">
        <v>39</v>
      </c>
      <c r="C7" s="5" t="n">
        <v>2</v>
      </c>
      <c r="D7" s="5" t="n">
        <v>3</v>
      </c>
      <c r="E7" s="5" t="s">
        <v>32</v>
      </c>
      <c r="F7" s="1" t="s">
        <v>9</v>
      </c>
    </row>
    <row r="8" customFormat="false" ht="12.75" hidden="false" customHeight="false" outlineLevel="0" collapsed="false">
      <c r="A8" s="3" t="s">
        <v>40</v>
      </c>
      <c r="B8" s="3" t="s">
        <v>41</v>
      </c>
      <c r="C8" s="5" t="n">
        <v>14</v>
      </c>
      <c r="D8" s="5" t="n">
        <v>8</v>
      </c>
      <c r="E8" s="5" t="s">
        <v>42</v>
      </c>
      <c r="F8" s="1" t="s">
        <v>9</v>
      </c>
      <c r="G8" s="1" t="s">
        <v>43</v>
      </c>
    </row>
    <row r="9" customFormat="false" ht="12.75" hidden="false" customHeight="false" outlineLevel="0" collapsed="false">
      <c r="A9" s="3" t="s">
        <v>44</v>
      </c>
      <c r="B9" s="3" t="s">
        <v>28</v>
      </c>
      <c r="C9" s="5" t="n">
        <v>8</v>
      </c>
      <c r="D9" s="5" t="n">
        <v>5</v>
      </c>
      <c r="E9" s="5" t="s">
        <v>29</v>
      </c>
      <c r="F9" s="1" t="s">
        <v>9</v>
      </c>
      <c r="G9" s="6" t="s">
        <v>45</v>
      </c>
    </row>
    <row r="13" customFormat="false" ht="12.75" hidden="false" customHeight="false" outlineLevel="0" collapsed="false">
      <c r="H13" s="1" t="s">
        <v>46</v>
      </c>
      <c r="I13" s="6" t="s">
        <v>47</v>
      </c>
    </row>
    <row r="14" customFormat="false" ht="23.85" hidden="false" customHeight="false" outlineLevel="0" collapsed="false">
      <c r="H14" s="6" t="s">
        <v>45</v>
      </c>
      <c r="I14" s="5" t="s">
        <v>48</v>
      </c>
    </row>
    <row r="15" customFormat="false" ht="23.85" hidden="false" customHeight="false" outlineLevel="0" collapsed="false">
      <c r="H15" s="1" t="s">
        <v>49</v>
      </c>
      <c r="I15" s="5" t="s">
        <v>50</v>
      </c>
    </row>
    <row r="16" customFormat="false" ht="46.25" hidden="false" customHeight="false" outlineLevel="0" collapsed="false">
      <c r="H16" s="1" t="s">
        <v>51</v>
      </c>
      <c r="I16" s="6" t="s">
        <v>52</v>
      </c>
    </row>
    <row r="17" customFormat="false" ht="68.65" hidden="false" customHeight="false" outlineLevel="0" collapsed="false">
      <c r="H17" s="6" t="s">
        <v>53</v>
      </c>
      <c r="I17" s="6" t="s">
        <v>54</v>
      </c>
    </row>
    <row r="18" customFormat="false" ht="84.15" hidden="false" customHeight="true" outlineLevel="0" collapsed="false">
      <c r="H18" s="1" t="s">
        <v>26</v>
      </c>
      <c r="I18" s="5" t="s">
        <v>55</v>
      </c>
    </row>
  </sheetData>
  <autoFilter ref="A1:G9"/>
  <printOptions headings="false" gridLines="false" gridLinesSet="true" horizontalCentered="false" verticalCentered="false"/>
  <pageMargins left="0" right="0" top="0" bottom="0" header="0" footer="0"/>
  <pageSetup paperSize="9" scale="100" fitToWidth="1" fitToHeight="1" pageOrder="downThenOver" orientation="portrait" blackAndWhite="false" draft="false" cellComments="none" horizontalDpi="300" verticalDpi="300" copies="1"/>
  <headerFooter differentFirst="true" differentOddEven="false">
    <oddHeader>&amp;C&amp;Kffffff&amp;A</oddHeader>
    <oddFooter>&amp;C&amp;KffffffСтраница &amp;P</oddFooter>
    <firstHeader/>
    <first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I23" activeCellId="0" sqref="I23"/>
    </sheetView>
  </sheetViews>
  <sheetFormatPr defaultColWidth="11.53515625" defaultRowHeight="12.8" customHeight="false" zeroHeight="false" outlineLevelRow="0" outlineLevelCol="0"/>
  <cols>
    <col collapsed="false" customWidth="true" hidden="false" outlineLevel="0" max="9" min="9" style="1" width="39.72"/>
  </cols>
  <sheetData>
    <row r="1" customFormat="false" ht="23.85" hidden="false" customHeight="false" outlineLevel="0" collapsed="false">
      <c r="A1" s="6" t="s">
        <v>56</v>
      </c>
      <c r="B1" s="6" t="s">
        <v>57</v>
      </c>
      <c r="C1" s="6" t="s">
        <v>58</v>
      </c>
      <c r="D1" s="6" t="s">
        <v>59</v>
      </c>
      <c r="E1" s="6" t="s">
        <v>60</v>
      </c>
      <c r="F1" s="6" t="s">
        <v>61</v>
      </c>
    </row>
    <row r="11" customFormat="false" ht="12.8" hidden="false" customHeight="false" outlineLevel="0" collapsed="false">
      <c r="H11" s="6" t="s">
        <v>62</v>
      </c>
      <c r="I11" s="6" t="s">
        <v>47</v>
      </c>
    </row>
    <row r="12" customFormat="false" ht="71.7" hidden="false" customHeight="true" outlineLevel="0" collapsed="false">
      <c r="H12" s="6" t="s">
        <v>63</v>
      </c>
      <c r="I12" s="6" t="s">
        <v>64</v>
      </c>
    </row>
    <row r="13" customFormat="false" ht="67.15" hidden="false" customHeight="true" outlineLevel="0" collapsed="false">
      <c r="I13" s="6" t="s">
        <v>65</v>
      </c>
    </row>
    <row r="14" customFormat="false" ht="23.85" hidden="false" customHeight="false" outlineLevel="0" collapsed="false">
      <c r="H14" s="6" t="s">
        <v>66</v>
      </c>
      <c r="I14" s="6" t="s">
        <v>67</v>
      </c>
    </row>
    <row r="15" customFormat="false" ht="67.15" hidden="false" customHeight="true" outlineLevel="0" collapsed="false">
      <c r="H15" s="6" t="s">
        <v>68</v>
      </c>
      <c r="I15" s="6" t="s">
        <v>69</v>
      </c>
    </row>
    <row r="16" customFormat="false" ht="91" hidden="false" customHeight="false" outlineLevel="0" collapsed="false">
      <c r="H16" s="6" t="s">
        <v>70</v>
      </c>
      <c r="I16" s="6" t="s">
        <v>71</v>
      </c>
    </row>
    <row r="17" customFormat="false" ht="71.3" hidden="false" customHeight="true" outlineLevel="0" collapsed="false">
      <c r="H17" s="6" t="s">
        <v>72</v>
      </c>
      <c r="I17" s="6" t="s">
        <v>73</v>
      </c>
    </row>
    <row r="18" customFormat="false" ht="35.05" hidden="false" customHeight="false" outlineLevel="0" collapsed="false">
      <c r="I18" s="6" t="s">
        <v>74</v>
      </c>
    </row>
    <row r="19" customFormat="false" ht="23.85" hidden="false" customHeight="false" outlineLevel="0" collapsed="false">
      <c r="H19" s="1" t="s">
        <v>75</v>
      </c>
      <c r="I19" s="6" t="s">
        <v>76</v>
      </c>
    </row>
    <row r="20" customFormat="false" ht="58.85" hidden="false" customHeight="true" outlineLevel="0" collapsed="false">
      <c r="H20" s="1" t="s">
        <v>77</v>
      </c>
      <c r="I20" s="6" t="s">
        <v>78</v>
      </c>
    </row>
    <row r="21" customFormat="false" ht="57.45" hidden="false" customHeight="false" outlineLevel="0" collapsed="false">
      <c r="H21" s="1" t="s">
        <v>79</v>
      </c>
      <c r="I21" s="6" t="s">
        <v>80</v>
      </c>
    </row>
    <row r="22" customFormat="false" ht="46.25" hidden="false" customHeight="false" outlineLevel="0" collapsed="false">
      <c r="H22" s="1" t="s">
        <v>81</v>
      </c>
      <c r="I22" s="6" t="s">
        <v>82</v>
      </c>
    </row>
    <row r="23" customFormat="false" ht="79.85" hidden="false" customHeight="false" outlineLevel="0" collapsed="false">
      <c r="H23" s="1" t="s">
        <v>83</v>
      </c>
      <c r="I23" s="6" t="s">
        <v>84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
  <sheetViews>
    <sheetView showFormulas="false" showGridLines="true" showRowColHeaders="true" showZeros="true" rightToLeft="false" tabSelected="false" showOutlineSymbols="true" defaultGridColor="true" view="normal" topLeftCell="A1" colorId="64" zoomScale="180" zoomScaleNormal="180" zoomScalePageLayoutView="100" workbookViewId="0">
      <selection pane="topLeft" activeCell="G10" activeCellId="0" sqref="G10"/>
    </sheetView>
  </sheetViews>
  <sheetFormatPr defaultColWidth="11.53515625" defaultRowHeight="12.8" customHeight="false" zeroHeight="false" outlineLevelRow="0" outlineLevelCol="0"/>
  <cols>
    <col collapsed="false" customWidth="true" hidden="false" outlineLevel="0" max="1" min="1" style="6" width="14.6"/>
    <col collapsed="false" customWidth="false" hidden="false" outlineLevel="0" max="2" min="2" style="6" width="11.53"/>
    <col collapsed="false" customWidth="false" hidden="false" outlineLevel="0" max="3" min="3" style="7" width="11.53"/>
    <col collapsed="false" customWidth="true" hidden="false" outlineLevel="0" max="4" min="4" style="6" width="14.52"/>
    <col collapsed="false" customWidth="false" hidden="false" outlineLevel="0" max="7" min="5" style="6" width="11.53"/>
    <col collapsed="false" customWidth="true" hidden="false" outlineLevel="0" max="8" min="8" style="6" width="52.24"/>
    <col collapsed="false" customWidth="false" hidden="false" outlineLevel="0" max="16384" min="9" style="6" width="11.53"/>
  </cols>
  <sheetData>
    <row r="1" customFormat="false" ht="35.05" hidden="false" customHeight="false" outlineLevel="0" collapsed="false">
      <c r="A1" s="6" t="s">
        <v>85</v>
      </c>
      <c r="B1" s="6" t="s">
        <v>86</v>
      </c>
      <c r="C1" s="8" t="s">
        <v>87</v>
      </c>
      <c r="D1" s="6" t="s">
        <v>60</v>
      </c>
      <c r="E1" s="6" t="s">
        <v>61</v>
      </c>
      <c r="G1" s="1"/>
      <c r="H1" s="1"/>
    </row>
    <row r="2" customFormat="false" ht="23.85" hidden="false" customHeight="false" outlineLevel="0" collapsed="false">
      <c r="A2" s="6" t="s">
        <v>88</v>
      </c>
      <c r="B2" s="6" t="s">
        <v>9</v>
      </c>
      <c r="C2" s="7" t="s">
        <v>89</v>
      </c>
      <c r="D2" s="6" t="s">
        <v>90</v>
      </c>
      <c r="G2" s="1"/>
      <c r="H2" s="1"/>
    </row>
    <row r="3" customFormat="false" ht="55.95" hidden="false" customHeight="true" outlineLevel="0" collapsed="false">
      <c r="A3" s="6" t="s">
        <v>91</v>
      </c>
      <c r="B3" s="6" t="s">
        <v>9</v>
      </c>
      <c r="C3" s="7" t="s">
        <v>92</v>
      </c>
      <c r="D3" s="6" t="s">
        <v>93</v>
      </c>
      <c r="G3" s="1"/>
      <c r="H3" s="1"/>
    </row>
    <row r="4" customFormat="false" ht="23.85" hidden="false" customHeight="false" outlineLevel="0" collapsed="false">
      <c r="A4" s="6" t="s">
        <v>94</v>
      </c>
      <c r="B4" s="6" t="n">
        <v>4</v>
      </c>
      <c r="C4" s="7" t="s">
        <v>95</v>
      </c>
      <c r="D4" s="6" t="s">
        <v>96</v>
      </c>
    </row>
    <row r="7" customFormat="false" ht="12.8" hidden="false" customHeight="false" outlineLevel="0" collapsed="false">
      <c r="G7" s="6" t="s">
        <v>62</v>
      </c>
      <c r="H7" s="6" t="s">
        <v>47</v>
      </c>
    </row>
    <row r="8" customFormat="false" ht="23.85" hidden="false" customHeight="false" outlineLevel="0" collapsed="false">
      <c r="G8" s="6" t="s">
        <v>90</v>
      </c>
      <c r="H8" s="6" t="s">
        <v>97</v>
      </c>
    </row>
    <row r="9" customFormat="false" ht="46.25" hidden="false" customHeight="false" outlineLevel="0" collapsed="false">
      <c r="G9" s="6" t="s">
        <v>98</v>
      </c>
      <c r="H9" s="6" t="s">
        <v>99</v>
      </c>
    </row>
    <row r="10" customFormat="false" ht="79.85" hidden="false" customHeight="false" outlineLevel="0" collapsed="false">
      <c r="G10" s="6" t="s">
        <v>100</v>
      </c>
      <c r="H10" s="6" t="s">
        <v>101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3"/>
  <sheetViews>
    <sheetView showFormulas="false" showGridLines="true" showRowColHeaders="true" showZeros="true" rightToLeft="false" tabSelected="true" showOutlineSymbols="true" defaultGridColor="true" view="normal" topLeftCell="A19" colorId="64" zoomScale="180" zoomScaleNormal="180" zoomScalePageLayoutView="100" workbookViewId="0">
      <selection pane="topLeft" activeCell="I64" activeCellId="0" sqref="I64"/>
    </sheetView>
  </sheetViews>
  <sheetFormatPr defaultColWidth="11.53515625" defaultRowHeight="12.8" customHeight="false" zeroHeight="false" outlineLevelRow="0" outlineLevelCol="0"/>
  <cols>
    <col collapsed="false" customWidth="true" hidden="false" outlineLevel="0" max="1" min="1" style="5" width="14.25"/>
    <col collapsed="false" customWidth="true" hidden="false" outlineLevel="0" max="2" min="2" style="5" width="14.34"/>
    <col collapsed="false" customWidth="true" hidden="false" outlineLevel="0" max="3" min="3" style="5" width="11.74"/>
    <col collapsed="false" customWidth="true" hidden="false" outlineLevel="0" max="4" min="4" style="5" width="16.43"/>
    <col collapsed="false" customWidth="true" hidden="false" outlineLevel="0" max="6" min="5" style="5" width="13.13"/>
    <col collapsed="false" customWidth="true" hidden="false" outlineLevel="0" max="7" min="7" style="5" width="13.39"/>
    <col collapsed="false" customWidth="true" hidden="false" outlineLevel="0" max="8" min="8" style="5" width="14.34"/>
    <col collapsed="false" customWidth="true" hidden="false" outlineLevel="0" max="9" min="9" style="5" width="14.6"/>
    <col collapsed="false" customWidth="true" hidden="false" outlineLevel="0" max="10" min="10" style="5" width="14.08"/>
    <col collapsed="false" customWidth="true" hidden="false" outlineLevel="0" max="11" min="11" style="5" width="15.22"/>
    <col collapsed="false" customWidth="true" hidden="false" outlineLevel="0" max="12" min="12" style="5" width="18.25"/>
    <col collapsed="false" customWidth="true" hidden="false" outlineLevel="0" max="13" min="13" style="5" width="13.91"/>
    <col collapsed="false" customWidth="false" hidden="false" outlineLevel="0" max="17" min="14" style="5" width="11.53"/>
    <col collapsed="false" customWidth="true" hidden="false" outlineLevel="0" max="18" min="18" style="5" width="20.25"/>
    <col collapsed="false" customWidth="false" hidden="false" outlineLevel="0" max="16384" min="24" style="5" width="11.53"/>
  </cols>
  <sheetData>
    <row r="1" customFormat="false" ht="55" hidden="false" customHeight="true" outlineLevel="0" collapsed="false">
      <c r="A1" s="9" t="s">
        <v>0</v>
      </c>
      <c r="B1" s="9" t="s">
        <v>102</v>
      </c>
      <c r="C1" s="9" t="s">
        <v>2</v>
      </c>
      <c r="D1" s="9" t="s">
        <v>103</v>
      </c>
      <c r="E1" s="9" t="s">
        <v>104</v>
      </c>
      <c r="F1" s="9" t="s">
        <v>14</v>
      </c>
      <c r="G1" s="9" t="s">
        <v>105</v>
      </c>
      <c r="H1" s="9" t="s">
        <v>106</v>
      </c>
      <c r="I1" s="9" t="s">
        <v>20</v>
      </c>
      <c r="J1" s="3" t="s">
        <v>21</v>
      </c>
      <c r="K1" s="9" t="s">
        <v>107</v>
      </c>
      <c r="L1" s="9" t="s">
        <v>108</v>
      </c>
      <c r="M1" s="9" t="s">
        <v>109</v>
      </c>
      <c r="N1" s="9" t="s">
        <v>110</v>
      </c>
      <c r="O1" s="9" t="s">
        <v>111</v>
      </c>
      <c r="P1" s="9" t="s">
        <v>112</v>
      </c>
    </row>
    <row r="2" customFormat="false" ht="12.8" hidden="false" customHeight="false" outlineLevel="0" collapsed="false">
      <c r="A2" s="5" t="str">
        <f aca="false">Генераторы!A$2</f>
        <v>SG-2KT</v>
      </c>
      <c r="B2" s="5" t="n">
        <f aca="false">Генераторы!B$2</f>
        <v>10</v>
      </c>
      <c r="C2" s="5" t="str">
        <f aca="false">Генераторы!C$2</f>
        <v>3+</v>
      </c>
      <c r="D2" s="5" t="n">
        <f aca="false">Генераторы!D$2</f>
        <v>2</v>
      </c>
      <c r="E2" s="5" t="str">
        <f aca="false">Генераторы!E$2</f>
        <v>-</v>
      </c>
      <c r="F2" s="5" t="str">
        <f aca="false">Двигатели!A$2</f>
        <v>LQB-S</v>
      </c>
      <c r="G2" s="5" t="n">
        <f aca="false">Двигатели!B$2</f>
        <v>3</v>
      </c>
      <c r="H2" s="5" t="n">
        <f aca="false">Двигатели!C$2</f>
        <v>16</v>
      </c>
      <c r="I2" s="1" t="str">
        <f aca="false">Орудия!A$2</f>
        <v>H-RP-10</v>
      </c>
      <c r="J2" s="1" t="str">
        <f aca="false">Орудия!B$2</f>
        <v>Кристалл</v>
      </c>
      <c r="K2" s="1" t="n">
        <f aca="false">Орудия!C$2</f>
        <v>10</v>
      </c>
      <c r="L2" s="1" t="n">
        <f aca="false">Орудия!D$2</f>
        <v>5</v>
      </c>
      <c r="M2" s="5" t="str">
        <f aca="false">Орудия!E$2</f>
        <v>15/25'</v>
      </c>
      <c r="N2" s="5" t="str">
        <f aca="false">Орудия!F$2</f>
        <v>-</v>
      </c>
      <c r="O2" s="5" t="n">
        <f aca="false">B2-G2-K2</f>
        <v>-3</v>
      </c>
      <c r="P2" s="5" t="n">
        <f aca="false">H2-D2-L2</f>
        <v>9</v>
      </c>
    </row>
    <row r="3" customFormat="false" ht="12.8" hidden="false" customHeight="false" outlineLevel="0" collapsed="false">
      <c r="A3" s="5" t="str">
        <f aca="false">Генераторы!A$3</f>
        <v>SG-3KT</v>
      </c>
      <c r="B3" s="5" t="n">
        <f aca="false">Генераторы!B$3</f>
        <v>15</v>
      </c>
      <c r="C3" s="5" t="str">
        <f aca="false">Генераторы!C$3</f>
        <v>3+</v>
      </c>
      <c r="D3" s="5" t="n">
        <f aca="false">Генераторы!D$3</f>
        <v>3</v>
      </c>
      <c r="E3" s="5" t="str">
        <f aca="false">Генераторы!E$3</f>
        <v>-</v>
      </c>
      <c r="F3" s="5" t="str">
        <f aca="false">Двигатели!A$2</f>
        <v>LQB-S</v>
      </c>
      <c r="G3" s="5" t="n">
        <f aca="false">Двигатели!B$2</f>
        <v>3</v>
      </c>
      <c r="H3" s="5" t="n">
        <f aca="false">Двигатели!C$2</f>
        <v>16</v>
      </c>
      <c r="I3" s="1" t="str">
        <f aca="false">Орудия!A$2</f>
        <v>H-RP-10</v>
      </c>
      <c r="J3" s="1" t="str">
        <f aca="false">Орудия!B$2</f>
        <v>Кристалл</v>
      </c>
      <c r="K3" s="1" t="n">
        <f aca="false">Орудия!C$2</f>
        <v>10</v>
      </c>
      <c r="L3" s="1" t="n">
        <f aca="false">Орудия!D$2</f>
        <v>5</v>
      </c>
      <c r="M3" s="5" t="str">
        <f aca="false">Орудия!E$2</f>
        <v>15/25'</v>
      </c>
      <c r="N3" s="5" t="str">
        <f aca="false">Орудия!F$2</f>
        <v>-</v>
      </c>
      <c r="O3" s="5" t="n">
        <f aca="false">B3-G3-K3</f>
        <v>2</v>
      </c>
      <c r="P3" s="5" t="n">
        <f aca="false">H3-D3-L3</f>
        <v>8</v>
      </c>
    </row>
    <row r="4" customFormat="false" ht="12.8" hidden="false" customHeight="false" outlineLevel="0" collapsed="false">
      <c r="A4" s="5" t="str">
        <f aca="false">Генераторы!A$4</f>
        <v>SG-8KT</v>
      </c>
      <c r="B4" s="5" t="n">
        <f aca="false">Генераторы!B$4</f>
        <v>20</v>
      </c>
      <c r="C4" s="5" t="str">
        <f aca="false">Генераторы!C$4</f>
        <v>4+</v>
      </c>
      <c r="D4" s="5" t="n">
        <f aca="false">Генераторы!D$4</f>
        <v>8</v>
      </c>
      <c r="E4" s="5" t="str">
        <f aca="false">Генераторы!E$4</f>
        <v>-</v>
      </c>
      <c r="F4" s="5" t="str">
        <f aca="false">Двигатели!A$2</f>
        <v>LQB-S</v>
      </c>
      <c r="G4" s="5" t="n">
        <f aca="false">Двигатели!B$2</f>
        <v>3</v>
      </c>
      <c r="H4" s="5" t="n">
        <f aca="false">Двигатели!C$2</f>
        <v>16</v>
      </c>
      <c r="I4" s="1" t="str">
        <f aca="false">Орудия!A$2</f>
        <v>H-RP-10</v>
      </c>
      <c r="J4" s="1" t="str">
        <f aca="false">Орудия!B$2</f>
        <v>Кристалл</v>
      </c>
      <c r="K4" s="1" t="n">
        <f aca="false">Орудия!C$2</f>
        <v>10</v>
      </c>
      <c r="L4" s="1" t="n">
        <f aca="false">Орудия!D$2</f>
        <v>5</v>
      </c>
      <c r="M4" s="5" t="str">
        <f aca="false">Орудия!E$2</f>
        <v>15/25'</v>
      </c>
      <c r="N4" s="5" t="str">
        <f aca="false">Орудия!F$2</f>
        <v>-</v>
      </c>
      <c r="O4" s="5" t="n">
        <f aca="false">B4-G4-K4</f>
        <v>7</v>
      </c>
      <c r="P4" s="5" t="n">
        <f aca="false">H4-D4-L4</f>
        <v>3</v>
      </c>
    </row>
    <row r="5" customFormat="false" ht="12.8" hidden="false" customHeight="false" outlineLevel="0" collapsed="false">
      <c r="A5" s="5" t="str">
        <f aca="false">Генераторы!A$2</f>
        <v>SG-2KT</v>
      </c>
      <c r="B5" s="5" t="n">
        <f aca="false">Генераторы!B$2</f>
        <v>10</v>
      </c>
      <c r="C5" s="5" t="str">
        <f aca="false">Генераторы!C$2</f>
        <v>3+</v>
      </c>
      <c r="D5" s="5" t="n">
        <f aca="false">Генераторы!D$2</f>
        <v>2</v>
      </c>
      <c r="E5" s="5" t="str">
        <f aca="false">Генераторы!E$2</f>
        <v>-</v>
      </c>
      <c r="F5" s="5" t="str">
        <f aca="false">Двигатели!A$3</f>
        <v>LQB-M</v>
      </c>
      <c r="G5" s="5" t="n">
        <f aca="false">Двигатели!B$3</f>
        <v>6</v>
      </c>
      <c r="H5" s="5" t="n">
        <f aca="false">Двигатели!C$3</f>
        <v>18</v>
      </c>
      <c r="I5" s="1" t="str">
        <f aca="false">Орудия!A$2</f>
        <v>H-RP-10</v>
      </c>
      <c r="J5" s="1" t="str">
        <f aca="false">Орудия!B$2</f>
        <v>Кристалл</v>
      </c>
      <c r="K5" s="1" t="n">
        <f aca="false">Орудия!C$2</f>
        <v>10</v>
      </c>
      <c r="L5" s="1" t="n">
        <f aca="false">Орудия!D$2</f>
        <v>5</v>
      </c>
      <c r="M5" s="5" t="str">
        <f aca="false">Орудия!E$2</f>
        <v>15/25'</v>
      </c>
      <c r="N5" s="5" t="str">
        <f aca="false">Орудия!F$2</f>
        <v>-</v>
      </c>
      <c r="O5" s="5" t="n">
        <f aca="false">B5-G5-K5</f>
        <v>-6</v>
      </c>
      <c r="P5" s="5" t="n">
        <f aca="false">H5-D5-L5</f>
        <v>11</v>
      </c>
    </row>
    <row r="6" customFormat="false" ht="12.8" hidden="false" customHeight="false" outlineLevel="0" collapsed="false">
      <c r="A6" s="5" t="str">
        <f aca="false">Генераторы!A$3</f>
        <v>SG-3KT</v>
      </c>
      <c r="B6" s="5" t="n">
        <f aca="false">Генераторы!B$3</f>
        <v>15</v>
      </c>
      <c r="C6" s="5" t="str">
        <f aca="false">Генераторы!C$3</f>
        <v>3+</v>
      </c>
      <c r="D6" s="5" t="n">
        <f aca="false">Генераторы!D$3</f>
        <v>3</v>
      </c>
      <c r="E6" s="5" t="str">
        <f aca="false">Генераторы!E$3</f>
        <v>-</v>
      </c>
      <c r="F6" s="5" t="str">
        <f aca="false">Двигатели!A$3</f>
        <v>LQB-M</v>
      </c>
      <c r="G6" s="5" t="n">
        <f aca="false">Двигатели!B$3</f>
        <v>6</v>
      </c>
      <c r="H6" s="5" t="n">
        <f aca="false">Двигатели!C$3</f>
        <v>18</v>
      </c>
      <c r="I6" s="1" t="str">
        <f aca="false">Орудия!A$2</f>
        <v>H-RP-10</v>
      </c>
      <c r="J6" s="1" t="str">
        <f aca="false">Орудия!B$2</f>
        <v>Кристалл</v>
      </c>
      <c r="K6" s="1" t="n">
        <f aca="false">Орудия!C$2</f>
        <v>10</v>
      </c>
      <c r="L6" s="1" t="n">
        <f aca="false">Орудия!D$2</f>
        <v>5</v>
      </c>
      <c r="M6" s="5" t="str">
        <f aca="false">Орудия!E$2</f>
        <v>15/25'</v>
      </c>
      <c r="N6" s="5" t="str">
        <f aca="false">Орудия!F$2</f>
        <v>-</v>
      </c>
      <c r="O6" s="5" t="n">
        <f aca="false">B6-G6-K6</f>
        <v>-1</v>
      </c>
      <c r="P6" s="5" t="n">
        <f aca="false">H6-D6-L6</f>
        <v>10</v>
      </c>
    </row>
    <row r="7" customFormat="false" ht="12.8" hidden="false" customHeight="false" outlineLevel="0" collapsed="false">
      <c r="A7" s="5" t="str">
        <f aca="false">Генераторы!A$4</f>
        <v>SG-8KT</v>
      </c>
      <c r="B7" s="5" t="n">
        <f aca="false">Генераторы!B$4</f>
        <v>20</v>
      </c>
      <c r="C7" s="5" t="str">
        <f aca="false">Генераторы!C$4</f>
        <v>4+</v>
      </c>
      <c r="D7" s="5" t="n">
        <f aca="false">Генераторы!D$4</f>
        <v>8</v>
      </c>
      <c r="E7" s="5" t="str">
        <f aca="false">Генераторы!E$4</f>
        <v>-</v>
      </c>
      <c r="F7" s="5" t="str">
        <f aca="false">Двигатели!A$3</f>
        <v>LQB-M</v>
      </c>
      <c r="G7" s="5" t="n">
        <f aca="false">Двигатели!B$3</f>
        <v>6</v>
      </c>
      <c r="H7" s="5" t="n">
        <f aca="false">Двигатели!C$3</f>
        <v>18</v>
      </c>
      <c r="I7" s="1" t="str">
        <f aca="false">Орудия!A$2</f>
        <v>H-RP-10</v>
      </c>
      <c r="J7" s="1" t="str">
        <f aca="false">Орудия!B$2</f>
        <v>Кристалл</v>
      </c>
      <c r="K7" s="1" t="n">
        <f aca="false">Орудия!C$2</f>
        <v>10</v>
      </c>
      <c r="L7" s="1" t="n">
        <f aca="false">Орудия!D$2</f>
        <v>5</v>
      </c>
      <c r="M7" s="5" t="str">
        <f aca="false">Орудия!E$2</f>
        <v>15/25'</v>
      </c>
      <c r="N7" s="5" t="str">
        <f aca="false">Орудия!F$2</f>
        <v>-</v>
      </c>
      <c r="O7" s="5" t="n">
        <f aca="false">B7-G7-K7</f>
        <v>4</v>
      </c>
      <c r="P7" s="5" t="n">
        <f aca="false">H7-D7-L7</f>
        <v>5</v>
      </c>
    </row>
    <row r="8" customFormat="false" ht="12.8" hidden="false" customHeight="false" outlineLevel="0" collapsed="false">
      <c r="A8" s="5" t="str">
        <f aca="false">Генераторы!A$2</f>
        <v>SG-2KT</v>
      </c>
      <c r="B8" s="5" t="n">
        <f aca="false">Генераторы!B$2</f>
        <v>10</v>
      </c>
      <c r="C8" s="5" t="str">
        <f aca="false">Генераторы!C$2</f>
        <v>3+</v>
      </c>
      <c r="D8" s="5" t="n">
        <f aca="false">Генераторы!D$2</f>
        <v>2</v>
      </c>
      <c r="E8" s="5" t="str">
        <f aca="false">Генераторы!E$2</f>
        <v>-</v>
      </c>
      <c r="F8" s="5" t="str">
        <f aca="false">Двигатели!A$4</f>
        <v>LQB-L</v>
      </c>
      <c r="G8" s="5" t="n">
        <f aca="false">Двигатели!B$4</f>
        <v>10</v>
      </c>
      <c r="H8" s="5" t="n">
        <f aca="false">Двигатели!C$4</f>
        <v>20</v>
      </c>
      <c r="I8" s="1" t="str">
        <f aca="false">Орудия!A$2</f>
        <v>H-RP-10</v>
      </c>
      <c r="J8" s="1" t="str">
        <f aca="false">Орудия!B$2</f>
        <v>Кристалл</v>
      </c>
      <c r="K8" s="1" t="n">
        <f aca="false">Орудия!C$2</f>
        <v>10</v>
      </c>
      <c r="L8" s="1" t="n">
        <f aca="false">Орудия!D$2</f>
        <v>5</v>
      </c>
      <c r="M8" s="5" t="str">
        <f aca="false">Орудия!E$2</f>
        <v>15/25'</v>
      </c>
      <c r="N8" s="5" t="str">
        <f aca="false">Орудия!F$2</f>
        <v>-</v>
      </c>
      <c r="O8" s="5" t="n">
        <f aca="false">B8-G8-K8</f>
        <v>-10</v>
      </c>
      <c r="P8" s="5" t="n">
        <f aca="false">H8-D8-L8</f>
        <v>13</v>
      </c>
    </row>
    <row r="9" customFormat="false" ht="12.8" hidden="false" customHeight="false" outlineLevel="0" collapsed="false">
      <c r="A9" s="5" t="str">
        <f aca="false">Генераторы!A$3</f>
        <v>SG-3KT</v>
      </c>
      <c r="B9" s="5" t="n">
        <f aca="false">Генераторы!B$3</f>
        <v>15</v>
      </c>
      <c r="C9" s="5" t="str">
        <f aca="false">Генераторы!C$3</f>
        <v>3+</v>
      </c>
      <c r="D9" s="5" t="n">
        <f aca="false">Генераторы!D$3</f>
        <v>3</v>
      </c>
      <c r="E9" s="5" t="str">
        <f aca="false">Генераторы!E$3</f>
        <v>-</v>
      </c>
      <c r="F9" s="5" t="str">
        <f aca="false">Двигатели!A$4</f>
        <v>LQB-L</v>
      </c>
      <c r="G9" s="5" t="n">
        <f aca="false">Двигатели!B$4</f>
        <v>10</v>
      </c>
      <c r="H9" s="5" t="n">
        <f aca="false">Двигатели!C$4</f>
        <v>20</v>
      </c>
      <c r="I9" s="1" t="str">
        <f aca="false">Орудия!A$2</f>
        <v>H-RP-10</v>
      </c>
      <c r="J9" s="1" t="str">
        <f aca="false">Орудия!B$2</f>
        <v>Кристалл</v>
      </c>
      <c r="K9" s="1" t="n">
        <f aca="false">Орудия!C$2</f>
        <v>10</v>
      </c>
      <c r="L9" s="1" t="n">
        <f aca="false">Орудия!D$2</f>
        <v>5</v>
      </c>
      <c r="M9" s="5" t="str">
        <f aca="false">Орудия!E$2</f>
        <v>15/25'</v>
      </c>
      <c r="N9" s="5" t="str">
        <f aca="false">Орудия!F$2</f>
        <v>-</v>
      </c>
      <c r="O9" s="5" t="n">
        <f aca="false">B9-G9-K9</f>
        <v>-5</v>
      </c>
      <c r="P9" s="5" t="n">
        <f aca="false">H9-D9-L9</f>
        <v>12</v>
      </c>
    </row>
    <row r="10" customFormat="false" ht="12.8" hidden="false" customHeight="false" outlineLevel="0" collapsed="false">
      <c r="A10" s="5" t="str">
        <f aca="false">Генераторы!A$4</f>
        <v>SG-8KT</v>
      </c>
      <c r="B10" s="5" t="n">
        <f aca="false">Генераторы!B$4</f>
        <v>20</v>
      </c>
      <c r="C10" s="5" t="str">
        <f aca="false">Генераторы!C$4</f>
        <v>4+</v>
      </c>
      <c r="D10" s="5" t="n">
        <f aca="false">Генераторы!D$4</f>
        <v>8</v>
      </c>
      <c r="E10" s="5" t="str">
        <f aca="false">Генераторы!E$4</f>
        <v>-</v>
      </c>
      <c r="F10" s="5" t="str">
        <f aca="false">Двигатели!A$4</f>
        <v>LQB-L</v>
      </c>
      <c r="G10" s="5" t="n">
        <f aca="false">Двигатели!B$4</f>
        <v>10</v>
      </c>
      <c r="H10" s="5" t="n">
        <f aca="false">Двигатели!C$4</f>
        <v>20</v>
      </c>
      <c r="I10" s="1" t="str">
        <f aca="false">Орудия!A$2</f>
        <v>H-RP-10</v>
      </c>
      <c r="J10" s="1" t="str">
        <f aca="false">Орудия!B$2</f>
        <v>Кристалл</v>
      </c>
      <c r="K10" s="1" t="n">
        <f aca="false">Орудия!C$2</f>
        <v>10</v>
      </c>
      <c r="L10" s="1" t="n">
        <f aca="false">Орудия!D$2</f>
        <v>5</v>
      </c>
      <c r="M10" s="5" t="str">
        <f aca="false">Орудия!E$2</f>
        <v>15/25'</v>
      </c>
      <c r="N10" s="5" t="str">
        <f aca="false">Орудия!F$2</f>
        <v>-</v>
      </c>
      <c r="O10" s="5" t="n">
        <f aca="false">B10-G10-K10</f>
        <v>0</v>
      </c>
      <c r="P10" s="5" t="n">
        <f aca="false">H10-D10-L10</f>
        <v>7</v>
      </c>
    </row>
    <row r="11" customFormat="false" ht="12.8" hidden="false" customHeight="false" outlineLevel="0" collapsed="false">
      <c r="A11" s="5" t="str">
        <f aca="false">Генераторы!A$2</f>
        <v>SG-2KT</v>
      </c>
      <c r="B11" s="5" t="n">
        <f aca="false">Генераторы!B$2</f>
        <v>10</v>
      </c>
      <c r="C11" s="5" t="str">
        <f aca="false">Генераторы!C$2</f>
        <v>3+</v>
      </c>
      <c r="D11" s="5" t="n">
        <f aca="false">Генераторы!D$2</f>
        <v>2</v>
      </c>
      <c r="E11" s="5" t="str">
        <f aca="false">Генераторы!E$2</f>
        <v>-</v>
      </c>
      <c r="F11" s="5" t="str">
        <f aca="false">Двигатели!A$2</f>
        <v>LQB-S</v>
      </c>
      <c r="G11" s="5" t="n">
        <f aca="false">Двигатели!B$2</f>
        <v>3</v>
      </c>
      <c r="H11" s="5" t="n">
        <f aca="false">Двигатели!C$2</f>
        <v>16</v>
      </c>
      <c r="I11" s="1" t="str">
        <f aca="false">Орудия!A$3</f>
        <v>BT-4</v>
      </c>
      <c r="J11" s="1" t="str">
        <f aca="false">Орудия!B$3</f>
        <v>Болт</v>
      </c>
      <c r="K11" s="1" t="n">
        <f aca="false">Орудия!C$3</f>
        <v>4</v>
      </c>
      <c r="L11" s="1" t="n">
        <f aca="false">Орудия!D$3</f>
        <v>4</v>
      </c>
      <c r="M11" s="5" t="str">
        <f aca="false">Орудия!E$3</f>
        <v>12/24'</v>
      </c>
      <c r="N11" s="5" t="str">
        <f aca="false">Орудия!F$3</f>
        <v>-</v>
      </c>
      <c r="O11" s="5" t="n">
        <f aca="false">B11-G11-K11</f>
        <v>3</v>
      </c>
      <c r="P11" s="5" t="n">
        <f aca="false">H11-D11-L11</f>
        <v>10</v>
      </c>
    </row>
    <row r="12" customFormat="false" ht="12.8" hidden="false" customHeight="false" outlineLevel="0" collapsed="false">
      <c r="A12" s="5" t="str">
        <f aca="false">Генераторы!A$3</f>
        <v>SG-3KT</v>
      </c>
      <c r="B12" s="5" t="n">
        <f aca="false">Генераторы!B$3</f>
        <v>15</v>
      </c>
      <c r="C12" s="5" t="str">
        <f aca="false">Генераторы!C$3</f>
        <v>3+</v>
      </c>
      <c r="D12" s="5" t="n">
        <f aca="false">Генераторы!D$3</f>
        <v>3</v>
      </c>
      <c r="E12" s="5" t="str">
        <f aca="false">Генераторы!E$3</f>
        <v>-</v>
      </c>
      <c r="F12" s="5" t="str">
        <f aca="false">Двигатели!A$2</f>
        <v>LQB-S</v>
      </c>
      <c r="G12" s="5" t="n">
        <f aca="false">Двигатели!B$2</f>
        <v>3</v>
      </c>
      <c r="H12" s="5" t="n">
        <f aca="false">Двигатели!C$2</f>
        <v>16</v>
      </c>
      <c r="I12" s="1" t="str">
        <f aca="false">Орудия!A$3</f>
        <v>BT-4</v>
      </c>
      <c r="J12" s="1" t="str">
        <f aca="false">Орудия!B$3</f>
        <v>Болт</v>
      </c>
      <c r="K12" s="1" t="n">
        <f aca="false">Орудия!C$3</f>
        <v>4</v>
      </c>
      <c r="L12" s="1" t="n">
        <f aca="false">Орудия!D$3</f>
        <v>4</v>
      </c>
      <c r="M12" s="5" t="str">
        <f aca="false">Орудия!E$3</f>
        <v>12/24'</v>
      </c>
      <c r="N12" s="5" t="str">
        <f aca="false">Орудия!F$3</f>
        <v>-</v>
      </c>
      <c r="O12" s="5" t="n">
        <f aca="false">B12-G12-K12</f>
        <v>8</v>
      </c>
      <c r="P12" s="5" t="n">
        <f aca="false">H12-D12-L12</f>
        <v>9</v>
      </c>
    </row>
    <row r="13" customFormat="false" ht="12.8" hidden="false" customHeight="false" outlineLevel="0" collapsed="false">
      <c r="A13" s="5" t="str">
        <f aca="false">Генераторы!A$4</f>
        <v>SG-8KT</v>
      </c>
      <c r="B13" s="5" t="n">
        <f aca="false">Генераторы!B$4</f>
        <v>20</v>
      </c>
      <c r="C13" s="5" t="str">
        <f aca="false">Генераторы!C$4</f>
        <v>4+</v>
      </c>
      <c r="D13" s="5" t="n">
        <f aca="false">Генераторы!D$4</f>
        <v>8</v>
      </c>
      <c r="E13" s="5" t="str">
        <f aca="false">Генераторы!E$4</f>
        <v>-</v>
      </c>
      <c r="F13" s="5" t="str">
        <f aca="false">Двигатели!A$2</f>
        <v>LQB-S</v>
      </c>
      <c r="G13" s="5" t="n">
        <f aca="false">Двигатели!B$2</f>
        <v>3</v>
      </c>
      <c r="H13" s="5" t="n">
        <f aca="false">Двигатели!C$2</f>
        <v>16</v>
      </c>
      <c r="I13" s="1" t="str">
        <f aca="false">Орудия!A$3</f>
        <v>BT-4</v>
      </c>
      <c r="J13" s="1" t="str">
        <f aca="false">Орудия!B$3</f>
        <v>Болт</v>
      </c>
      <c r="K13" s="1" t="n">
        <f aca="false">Орудия!C$3</f>
        <v>4</v>
      </c>
      <c r="L13" s="1" t="n">
        <f aca="false">Орудия!D$3</f>
        <v>4</v>
      </c>
      <c r="M13" s="5" t="str">
        <f aca="false">Орудия!E$3</f>
        <v>12/24'</v>
      </c>
      <c r="N13" s="5" t="str">
        <f aca="false">Орудия!F$3</f>
        <v>-</v>
      </c>
      <c r="O13" s="5" t="n">
        <f aca="false">B13-G13-K13</f>
        <v>13</v>
      </c>
      <c r="P13" s="5" t="n">
        <f aca="false">H13-D13-L13</f>
        <v>4</v>
      </c>
    </row>
    <row r="14" customFormat="false" ht="12.8" hidden="false" customHeight="false" outlineLevel="0" collapsed="false">
      <c r="A14" s="5" t="str">
        <f aca="false">Генераторы!A$2</f>
        <v>SG-2KT</v>
      </c>
      <c r="B14" s="5" t="n">
        <f aca="false">Генераторы!B$2</f>
        <v>10</v>
      </c>
      <c r="C14" s="5" t="str">
        <f aca="false">Генераторы!C$2</f>
        <v>3+</v>
      </c>
      <c r="D14" s="5" t="n">
        <f aca="false">Генераторы!D$2</f>
        <v>2</v>
      </c>
      <c r="E14" s="5" t="str">
        <f aca="false">Генераторы!E$2</f>
        <v>-</v>
      </c>
      <c r="F14" s="5" t="str">
        <f aca="false">Двигатели!A$3</f>
        <v>LQB-M</v>
      </c>
      <c r="G14" s="5" t="n">
        <f aca="false">Двигатели!B$3</f>
        <v>6</v>
      </c>
      <c r="H14" s="5" t="n">
        <f aca="false">Двигатели!C$3</f>
        <v>18</v>
      </c>
      <c r="I14" s="1" t="str">
        <f aca="false">Орудия!A$3</f>
        <v>BT-4</v>
      </c>
      <c r="J14" s="1" t="str">
        <f aca="false">Орудия!B$3</f>
        <v>Болт</v>
      </c>
      <c r="K14" s="1" t="n">
        <f aca="false">Орудия!C$3</f>
        <v>4</v>
      </c>
      <c r="L14" s="1" t="n">
        <f aca="false">Орудия!D$3</f>
        <v>4</v>
      </c>
      <c r="M14" s="5" t="str">
        <f aca="false">Орудия!E$3</f>
        <v>12/24'</v>
      </c>
      <c r="N14" s="5" t="str">
        <f aca="false">Орудия!F$3</f>
        <v>-</v>
      </c>
      <c r="O14" s="5" t="n">
        <f aca="false">B14-G14-K14</f>
        <v>0</v>
      </c>
      <c r="P14" s="5" t="n">
        <f aca="false">H14-D14-L14</f>
        <v>12</v>
      </c>
    </row>
    <row r="15" customFormat="false" ht="12.8" hidden="false" customHeight="false" outlineLevel="0" collapsed="false">
      <c r="A15" s="5" t="str">
        <f aca="false">Генераторы!A$3</f>
        <v>SG-3KT</v>
      </c>
      <c r="B15" s="5" t="n">
        <f aca="false">Генераторы!B$3</f>
        <v>15</v>
      </c>
      <c r="C15" s="5" t="str">
        <f aca="false">Генераторы!C$3</f>
        <v>3+</v>
      </c>
      <c r="D15" s="5" t="n">
        <f aca="false">Генераторы!D$3</f>
        <v>3</v>
      </c>
      <c r="E15" s="5" t="str">
        <f aca="false">Генераторы!E$3</f>
        <v>-</v>
      </c>
      <c r="F15" s="5" t="str">
        <f aca="false">Двигатели!A$3</f>
        <v>LQB-M</v>
      </c>
      <c r="G15" s="5" t="n">
        <f aca="false">Двигатели!B$3</f>
        <v>6</v>
      </c>
      <c r="H15" s="5" t="n">
        <f aca="false">Двигатели!C$3</f>
        <v>18</v>
      </c>
      <c r="I15" s="1" t="str">
        <f aca="false">Орудия!A$3</f>
        <v>BT-4</v>
      </c>
      <c r="J15" s="1" t="str">
        <f aca="false">Орудия!B$3</f>
        <v>Болт</v>
      </c>
      <c r="K15" s="1" t="n">
        <f aca="false">Орудия!C$3</f>
        <v>4</v>
      </c>
      <c r="L15" s="1" t="n">
        <f aca="false">Орудия!D$3</f>
        <v>4</v>
      </c>
      <c r="M15" s="5" t="str">
        <f aca="false">Орудия!E$3</f>
        <v>12/24'</v>
      </c>
      <c r="N15" s="5" t="str">
        <f aca="false">Орудия!F$3</f>
        <v>-</v>
      </c>
      <c r="O15" s="5" t="n">
        <f aca="false">B15-G15-K15</f>
        <v>5</v>
      </c>
      <c r="P15" s="5" t="n">
        <f aca="false">H15-D15-L15</f>
        <v>11</v>
      </c>
    </row>
    <row r="16" customFormat="false" ht="12.8" hidden="false" customHeight="false" outlineLevel="0" collapsed="false">
      <c r="A16" s="5" t="str">
        <f aca="false">Генераторы!A$4</f>
        <v>SG-8KT</v>
      </c>
      <c r="B16" s="5" t="n">
        <f aca="false">Генераторы!B$4</f>
        <v>20</v>
      </c>
      <c r="C16" s="5" t="str">
        <f aca="false">Генераторы!C$4</f>
        <v>4+</v>
      </c>
      <c r="D16" s="5" t="n">
        <f aca="false">Генераторы!D$4</f>
        <v>8</v>
      </c>
      <c r="E16" s="5" t="str">
        <f aca="false">Генераторы!E$4</f>
        <v>-</v>
      </c>
      <c r="F16" s="5" t="str">
        <f aca="false">Двигатели!A$3</f>
        <v>LQB-M</v>
      </c>
      <c r="G16" s="5" t="n">
        <f aca="false">Двигатели!B$3</f>
        <v>6</v>
      </c>
      <c r="H16" s="5" t="n">
        <f aca="false">Двигатели!C$3</f>
        <v>18</v>
      </c>
      <c r="I16" s="1" t="str">
        <f aca="false">Орудия!A$3</f>
        <v>BT-4</v>
      </c>
      <c r="J16" s="1" t="str">
        <f aca="false">Орудия!B$3</f>
        <v>Болт</v>
      </c>
      <c r="K16" s="1" t="n">
        <f aca="false">Орудия!C$3</f>
        <v>4</v>
      </c>
      <c r="L16" s="1" t="n">
        <f aca="false">Орудия!D$3</f>
        <v>4</v>
      </c>
      <c r="M16" s="5" t="str">
        <f aca="false">Орудия!E$3</f>
        <v>12/24'</v>
      </c>
      <c r="N16" s="5" t="str">
        <f aca="false">Орудия!F$3</f>
        <v>-</v>
      </c>
      <c r="O16" s="5" t="n">
        <f aca="false">B16-G16-K16</f>
        <v>10</v>
      </c>
      <c r="P16" s="5" t="n">
        <f aca="false">H16-D16-L16</f>
        <v>6</v>
      </c>
    </row>
    <row r="17" customFormat="false" ht="12.8" hidden="false" customHeight="false" outlineLevel="0" collapsed="false">
      <c r="A17" s="5" t="str">
        <f aca="false">Генераторы!A$2</f>
        <v>SG-2KT</v>
      </c>
      <c r="B17" s="5" t="n">
        <f aca="false">Генераторы!B$2</f>
        <v>10</v>
      </c>
      <c r="C17" s="5" t="str">
        <f aca="false">Генераторы!C$2</f>
        <v>3+</v>
      </c>
      <c r="D17" s="5" t="n">
        <f aca="false">Генераторы!D$2</f>
        <v>2</v>
      </c>
      <c r="E17" s="5" t="str">
        <f aca="false">Генераторы!E$2</f>
        <v>-</v>
      </c>
      <c r="F17" s="5" t="str">
        <f aca="false">Двигатели!A$4</f>
        <v>LQB-L</v>
      </c>
      <c r="G17" s="5" t="n">
        <f aca="false">Двигатели!B$4</f>
        <v>10</v>
      </c>
      <c r="H17" s="5" t="n">
        <f aca="false">Двигатели!C$4</f>
        <v>20</v>
      </c>
      <c r="I17" s="1" t="str">
        <f aca="false">Орудия!A$3</f>
        <v>BT-4</v>
      </c>
      <c r="J17" s="1" t="str">
        <f aca="false">Орудия!B$3</f>
        <v>Болт</v>
      </c>
      <c r="K17" s="1" t="n">
        <f aca="false">Орудия!C$3</f>
        <v>4</v>
      </c>
      <c r="L17" s="1" t="n">
        <f aca="false">Орудия!D$3</f>
        <v>4</v>
      </c>
      <c r="M17" s="5" t="str">
        <f aca="false">Орудия!E$3</f>
        <v>12/24'</v>
      </c>
      <c r="N17" s="5" t="str">
        <f aca="false">Орудия!F$3</f>
        <v>-</v>
      </c>
      <c r="O17" s="5" t="n">
        <f aca="false">B17-G17-K17</f>
        <v>-4</v>
      </c>
      <c r="P17" s="5" t="n">
        <f aca="false">H17-D17-L17</f>
        <v>14</v>
      </c>
    </row>
    <row r="18" customFormat="false" ht="12.8" hidden="false" customHeight="false" outlineLevel="0" collapsed="false">
      <c r="A18" s="5" t="str">
        <f aca="false">Генераторы!A$3</f>
        <v>SG-3KT</v>
      </c>
      <c r="B18" s="5" t="n">
        <f aca="false">Генераторы!B$3</f>
        <v>15</v>
      </c>
      <c r="C18" s="5" t="str">
        <f aca="false">Генераторы!C$3</f>
        <v>3+</v>
      </c>
      <c r="D18" s="5" t="n">
        <f aca="false">Генераторы!D$3</f>
        <v>3</v>
      </c>
      <c r="E18" s="5" t="str">
        <f aca="false">Генераторы!E$3</f>
        <v>-</v>
      </c>
      <c r="F18" s="5" t="str">
        <f aca="false">Двигатели!A$4</f>
        <v>LQB-L</v>
      </c>
      <c r="G18" s="5" t="n">
        <f aca="false">Двигатели!B$4</f>
        <v>10</v>
      </c>
      <c r="H18" s="5" t="n">
        <f aca="false">Двигатели!C$4</f>
        <v>20</v>
      </c>
      <c r="I18" s="1" t="str">
        <f aca="false">Орудия!A$3</f>
        <v>BT-4</v>
      </c>
      <c r="J18" s="1" t="str">
        <f aca="false">Орудия!B$3</f>
        <v>Болт</v>
      </c>
      <c r="K18" s="1" t="n">
        <f aca="false">Орудия!C$3</f>
        <v>4</v>
      </c>
      <c r="L18" s="1" t="n">
        <f aca="false">Орудия!D$3</f>
        <v>4</v>
      </c>
      <c r="M18" s="5" t="str">
        <f aca="false">Орудия!E$3</f>
        <v>12/24'</v>
      </c>
      <c r="N18" s="5" t="str">
        <f aca="false">Орудия!F$3</f>
        <v>-</v>
      </c>
      <c r="O18" s="5" t="n">
        <f aca="false">B18-G18-K18</f>
        <v>1</v>
      </c>
      <c r="P18" s="5" t="n">
        <f aca="false">H18-D18-L18</f>
        <v>13</v>
      </c>
    </row>
    <row r="19" customFormat="false" ht="12.8" hidden="false" customHeight="false" outlineLevel="0" collapsed="false">
      <c r="A19" s="5" t="str">
        <f aca="false">Генераторы!A$4</f>
        <v>SG-8KT</v>
      </c>
      <c r="B19" s="5" t="n">
        <f aca="false">Генераторы!B$4</f>
        <v>20</v>
      </c>
      <c r="C19" s="5" t="str">
        <f aca="false">Генераторы!C$4</f>
        <v>4+</v>
      </c>
      <c r="D19" s="5" t="n">
        <f aca="false">Генераторы!D$4</f>
        <v>8</v>
      </c>
      <c r="E19" s="5" t="str">
        <f aca="false">Генераторы!E$4</f>
        <v>-</v>
      </c>
      <c r="F19" s="5" t="str">
        <f aca="false">Двигатели!A$4</f>
        <v>LQB-L</v>
      </c>
      <c r="G19" s="5" t="n">
        <f aca="false">Двигатели!B$4</f>
        <v>10</v>
      </c>
      <c r="H19" s="5" t="n">
        <f aca="false">Двигатели!C$4</f>
        <v>20</v>
      </c>
      <c r="I19" s="1" t="str">
        <f aca="false">Орудия!A$3</f>
        <v>BT-4</v>
      </c>
      <c r="J19" s="1" t="str">
        <f aca="false">Орудия!B$3</f>
        <v>Болт</v>
      </c>
      <c r="K19" s="1" t="n">
        <f aca="false">Орудия!C$3</f>
        <v>4</v>
      </c>
      <c r="L19" s="1" t="n">
        <f aca="false">Орудия!D$3</f>
        <v>4</v>
      </c>
      <c r="M19" s="5" t="str">
        <f aca="false">Орудия!E$3</f>
        <v>12/24'</v>
      </c>
      <c r="N19" s="5" t="str">
        <f aca="false">Орудия!F$3</f>
        <v>-</v>
      </c>
      <c r="O19" s="5" t="n">
        <f aca="false">B19-G19-K19</f>
        <v>6</v>
      </c>
      <c r="P19" s="5" t="n">
        <f aca="false">H19-D19-L19</f>
        <v>8</v>
      </c>
    </row>
    <row r="20" customFormat="false" ht="12.8" hidden="false" customHeight="false" outlineLevel="0" collapsed="false">
      <c r="A20" s="5" t="str">
        <f aca="false">Генераторы!A$2</f>
        <v>SG-2KT</v>
      </c>
      <c r="B20" s="5" t="n">
        <f aca="false">Генераторы!B$2</f>
        <v>10</v>
      </c>
      <c r="C20" s="5" t="str">
        <f aca="false">Генераторы!C$2</f>
        <v>3+</v>
      </c>
      <c r="D20" s="5" t="n">
        <f aca="false">Генераторы!D$2</f>
        <v>2</v>
      </c>
      <c r="E20" s="5" t="str">
        <f aca="false">Генераторы!E$2</f>
        <v>-</v>
      </c>
      <c r="F20" s="5" t="str">
        <f aca="false">Двигатели!A$2</f>
        <v>LQB-S</v>
      </c>
      <c r="G20" s="5" t="n">
        <f aca="false">Двигатели!B$2</f>
        <v>3</v>
      </c>
      <c r="H20" s="5" t="n">
        <f aca="false">Двигатели!C$2</f>
        <v>16</v>
      </c>
      <c r="I20" s="1" t="str">
        <f aca="false">Орудия!A$4</f>
        <v>MC-3</v>
      </c>
      <c r="J20" s="1" t="str">
        <f aca="false">Орудия!B$4</f>
        <v>ракета</v>
      </c>
      <c r="K20" s="1" t="n">
        <f aca="false">Орудия!C$4</f>
        <v>3</v>
      </c>
      <c r="L20" s="1" t="n">
        <f aca="false">Орудия!D$4</f>
        <v>4</v>
      </c>
      <c r="M20" s="5" t="str">
        <f aca="false">Орудия!E$4</f>
        <v>8/18'</v>
      </c>
      <c r="N20" s="5" t="str">
        <f aca="false">Орудия!F$4</f>
        <v>-</v>
      </c>
      <c r="O20" s="5" t="n">
        <f aca="false">B20-G20-K20</f>
        <v>4</v>
      </c>
      <c r="P20" s="5" t="n">
        <f aca="false">H20-D20-L20</f>
        <v>10</v>
      </c>
    </row>
    <row r="21" customFormat="false" ht="12.8" hidden="false" customHeight="false" outlineLevel="0" collapsed="false">
      <c r="A21" s="5" t="str">
        <f aca="false">Генераторы!A$3</f>
        <v>SG-3KT</v>
      </c>
      <c r="B21" s="5" t="n">
        <f aca="false">Генераторы!B$3</f>
        <v>15</v>
      </c>
      <c r="C21" s="5" t="str">
        <f aca="false">Генераторы!C$3</f>
        <v>3+</v>
      </c>
      <c r="D21" s="5" t="n">
        <f aca="false">Генераторы!D$3</f>
        <v>3</v>
      </c>
      <c r="E21" s="5" t="str">
        <f aca="false">Генераторы!E$3</f>
        <v>-</v>
      </c>
      <c r="F21" s="5" t="str">
        <f aca="false">Двигатели!A$2</f>
        <v>LQB-S</v>
      </c>
      <c r="G21" s="5" t="n">
        <f aca="false">Двигатели!B$2</f>
        <v>3</v>
      </c>
      <c r="H21" s="5" t="n">
        <f aca="false">Двигатели!C$2</f>
        <v>16</v>
      </c>
      <c r="I21" s="1" t="str">
        <f aca="false">Орудия!A$4</f>
        <v>MC-3</v>
      </c>
      <c r="J21" s="1" t="str">
        <f aca="false">Орудия!B$4</f>
        <v>ракета</v>
      </c>
      <c r="K21" s="1" t="n">
        <f aca="false">Орудия!C$4</f>
        <v>3</v>
      </c>
      <c r="L21" s="1" t="n">
        <f aca="false">Орудия!D$4</f>
        <v>4</v>
      </c>
      <c r="M21" s="5" t="str">
        <f aca="false">Орудия!E$4</f>
        <v>8/18'</v>
      </c>
      <c r="N21" s="5" t="str">
        <f aca="false">Орудия!F$4</f>
        <v>-</v>
      </c>
      <c r="O21" s="5" t="n">
        <f aca="false">B21-G21-K21</f>
        <v>9</v>
      </c>
      <c r="P21" s="5" t="n">
        <f aca="false">H21-D21-L21</f>
        <v>9</v>
      </c>
    </row>
    <row r="22" customFormat="false" ht="12.8" hidden="false" customHeight="false" outlineLevel="0" collapsed="false">
      <c r="A22" s="5" t="str">
        <f aca="false">Генераторы!A$4</f>
        <v>SG-8KT</v>
      </c>
      <c r="B22" s="5" t="n">
        <f aca="false">Генераторы!B$4</f>
        <v>20</v>
      </c>
      <c r="C22" s="5" t="str">
        <f aca="false">Генераторы!C$4</f>
        <v>4+</v>
      </c>
      <c r="D22" s="5" t="n">
        <f aca="false">Генераторы!D$4</f>
        <v>8</v>
      </c>
      <c r="E22" s="5" t="str">
        <f aca="false">Генераторы!E$4</f>
        <v>-</v>
      </c>
      <c r="F22" s="5" t="str">
        <f aca="false">Двигатели!A$2</f>
        <v>LQB-S</v>
      </c>
      <c r="G22" s="5" t="n">
        <f aca="false">Двигатели!B$2</f>
        <v>3</v>
      </c>
      <c r="H22" s="5" t="n">
        <f aca="false">Двигатели!C$2</f>
        <v>16</v>
      </c>
      <c r="I22" s="1" t="str">
        <f aca="false">Орудия!A$4</f>
        <v>MC-3</v>
      </c>
      <c r="J22" s="1" t="str">
        <f aca="false">Орудия!B$4</f>
        <v>ракета</v>
      </c>
      <c r="K22" s="1" t="n">
        <f aca="false">Орудия!C$4</f>
        <v>3</v>
      </c>
      <c r="L22" s="1" t="n">
        <f aca="false">Орудия!D$4</f>
        <v>4</v>
      </c>
      <c r="M22" s="5" t="str">
        <f aca="false">Орудия!E$4</f>
        <v>8/18'</v>
      </c>
      <c r="N22" s="5" t="str">
        <f aca="false">Орудия!F$4</f>
        <v>-</v>
      </c>
      <c r="O22" s="5" t="n">
        <f aca="false">B22-G22-K22</f>
        <v>14</v>
      </c>
      <c r="P22" s="5" t="n">
        <f aca="false">H22-D22-L22</f>
        <v>4</v>
      </c>
    </row>
    <row r="23" customFormat="false" ht="12.8" hidden="false" customHeight="false" outlineLevel="0" collapsed="false">
      <c r="A23" s="5" t="str">
        <f aca="false">Генераторы!A$2</f>
        <v>SG-2KT</v>
      </c>
      <c r="B23" s="5" t="n">
        <f aca="false">Генераторы!B$2</f>
        <v>10</v>
      </c>
      <c r="C23" s="5" t="str">
        <f aca="false">Генераторы!C$2</f>
        <v>3+</v>
      </c>
      <c r="D23" s="5" t="n">
        <f aca="false">Генераторы!D$2</f>
        <v>2</v>
      </c>
      <c r="E23" s="5" t="str">
        <f aca="false">Генераторы!E$2</f>
        <v>-</v>
      </c>
      <c r="F23" s="5" t="str">
        <f aca="false">Двигатели!A$3</f>
        <v>LQB-M</v>
      </c>
      <c r="G23" s="5" t="n">
        <f aca="false">Двигатели!B$3</f>
        <v>6</v>
      </c>
      <c r="H23" s="5" t="n">
        <f aca="false">Двигатели!C$3</f>
        <v>18</v>
      </c>
      <c r="I23" s="1" t="str">
        <f aca="false">Орудия!A$4</f>
        <v>MC-3</v>
      </c>
      <c r="J23" s="1" t="str">
        <f aca="false">Орудия!B$4</f>
        <v>ракета</v>
      </c>
      <c r="K23" s="1" t="n">
        <f aca="false">Орудия!C$4</f>
        <v>3</v>
      </c>
      <c r="L23" s="1" t="n">
        <f aca="false">Орудия!D$4</f>
        <v>4</v>
      </c>
      <c r="M23" s="5" t="str">
        <f aca="false">Орудия!E$4</f>
        <v>8/18'</v>
      </c>
      <c r="N23" s="5" t="str">
        <f aca="false">Орудия!F$4</f>
        <v>-</v>
      </c>
      <c r="O23" s="5" t="n">
        <f aca="false">B23-G23-K23</f>
        <v>1</v>
      </c>
      <c r="P23" s="5" t="n">
        <f aca="false">H23-D23-L23</f>
        <v>12</v>
      </c>
    </row>
    <row r="24" customFormat="false" ht="12.8" hidden="false" customHeight="false" outlineLevel="0" collapsed="false">
      <c r="A24" s="5" t="str">
        <f aca="false">Генераторы!A$3</f>
        <v>SG-3KT</v>
      </c>
      <c r="B24" s="5" t="n">
        <f aca="false">Генераторы!B$3</f>
        <v>15</v>
      </c>
      <c r="C24" s="5" t="str">
        <f aca="false">Генераторы!C$3</f>
        <v>3+</v>
      </c>
      <c r="D24" s="5" t="n">
        <f aca="false">Генераторы!D$3</f>
        <v>3</v>
      </c>
      <c r="E24" s="5" t="str">
        <f aca="false">Генераторы!E$3</f>
        <v>-</v>
      </c>
      <c r="F24" s="5" t="str">
        <f aca="false">Двигатели!A$3</f>
        <v>LQB-M</v>
      </c>
      <c r="G24" s="5" t="n">
        <f aca="false">Двигатели!B$3</f>
        <v>6</v>
      </c>
      <c r="H24" s="5" t="n">
        <f aca="false">Двигатели!C$3</f>
        <v>18</v>
      </c>
      <c r="I24" s="1" t="str">
        <f aca="false">Орудия!A$4</f>
        <v>MC-3</v>
      </c>
      <c r="J24" s="1" t="str">
        <f aca="false">Орудия!B$4</f>
        <v>ракета</v>
      </c>
      <c r="K24" s="1" t="n">
        <f aca="false">Орудия!C$4</f>
        <v>3</v>
      </c>
      <c r="L24" s="1" t="n">
        <f aca="false">Орудия!D$4</f>
        <v>4</v>
      </c>
      <c r="M24" s="5" t="str">
        <f aca="false">Орудия!E$4</f>
        <v>8/18'</v>
      </c>
      <c r="N24" s="5" t="str">
        <f aca="false">Орудия!F$4</f>
        <v>-</v>
      </c>
      <c r="O24" s="5" t="n">
        <f aca="false">B24-G24-K24</f>
        <v>6</v>
      </c>
      <c r="P24" s="5" t="n">
        <f aca="false">H24-D24-L24</f>
        <v>11</v>
      </c>
    </row>
    <row r="25" customFormat="false" ht="12.8" hidden="false" customHeight="false" outlineLevel="0" collapsed="false">
      <c r="A25" s="5" t="str">
        <f aca="false">Генераторы!A$4</f>
        <v>SG-8KT</v>
      </c>
      <c r="B25" s="5" t="n">
        <f aca="false">Генераторы!B$4</f>
        <v>20</v>
      </c>
      <c r="C25" s="5" t="str">
        <f aca="false">Генераторы!C$4</f>
        <v>4+</v>
      </c>
      <c r="D25" s="5" t="n">
        <f aca="false">Генераторы!D$4</f>
        <v>8</v>
      </c>
      <c r="E25" s="5" t="str">
        <f aca="false">Генераторы!E$4</f>
        <v>-</v>
      </c>
      <c r="F25" s="5" t="str">
        <f aca="false">Двигатели!A$3</f>
        <v>LQB-M</v>
      </c>
      <c r="G25" s="5" t="n">
        <f aca="false">Двигатели!B$3</f>
        <v>6</v>
      </c>
      <c r="H25" s="5" t="n">
        <f aca="false">Двигатели!C$3</f>
        <v>18</v>
      </c>
      <c r="I25" s="1" t="str">
        <f aca="false">Орудия!A$4</f>
        <v>MC-3</v>
      </c>
      <c r="J25" s="1" t="str">
        <f aca="false">Орудия!B$4</f>
        <v>ракета</v>
      </c>
      <c r="K25" s="1" t="n">
        <f aca="false">Орудия!C$4</f>
        <v>3</v>
      </c>
      <c r="L25" s="1" t="n">
        <f aca="false">Орудия!D$4</f>
        <v>4</v>
      </c>
      <c r="M25" s="5" t="str">
        <f aca="false">Орудия!E$4</f>
        <v>8/18'</v>
      </c>
      <c r="N25" s="5" t="str">
        <f aca="false">Орудия!F$4</f>
        <v>-</v>
      </c>
      <c r="O25" s="5" t="n">
        <f aca="false">B25-G25-K25</f>
        <v>11</v>
      </c>
      <c r="P25" s="5" t="n">
        <f aca="false">H25-D25-L25</f>
        <v>6</v>
      </c>
    </row>
    <row r="26" customFormat="false" ht="12.8" hidden="false" customHeight="false" outlineLevel="0" collapsed="false">
      <c r="A26" s="5" t="str">
        <f aca="false">Генераторы!A$2</f>
        <v>SG-2KT</v>
      </c>
      <c r="B26" s="5" t="n">
        <f aca="false">Генераторы!B$2</f>
        <v>10</v>
      </c>
      <c r="C26" s="5" t="str">
        <f aca="false">Генераторы!C$2</f>
        <v>3+</v>
      </c>
      <c r="D26" s="5" t="n">
        <f aca="false">Генераторы!D$2</f>
        <v>2</v>
      </c>
      <c r="E26" s="5" t="str">
        <f aca="false">Генераторы!E$2</f>
        <v>-</v>
      </c>
      <c r="F26" s="5" t="str">
        <f aca="false">Двигатели!A$4</f>
        <v>LQB-L</v>
      </c>
      <c r="G26" s="5" t="n">
        <f aca="false">Двигатели!B$4</f>
        <v>10</v>
      </c>
      <c r="H26" s="5" t="n">
        <f aca="false">Двигатели!C$4</f>
        <v>20</v>
      </c>
      <c r="I26" s="1" t="str">
        <f aca="false">Орудия!A$4</f>
        <v>MC-3</v>
      </c>
      <c r="J26" s="1" t="str">
        <f aca="false">Орудия!B$4</f>
        <v>ракета</v>
      </c>
      <c r="K26" s="1" t="n">
        <f aca="false">Орудия!C$4</f>
        <v>3</v>
      </c>
      <c r="L26" s="1" t="n">
        <f aca="false">Орудия!D$4</f>
        <v>4</v>
      </c>
      <c r="M26" s="5" t="str">
        <f aca="false">Орудия!E$4</f>
        <v>8/18'</v>
      </c>
      <c r="N26" s="5" t="str">
        <f aca="false">Орудия!F$4</f>
        <v>-</v>
      </c>
      <c r="O26" s="5" t="n">
        <f aca="false">B26-G26-K26</f>
        <v>-3</v>
      </c>
      <c r="P26" s="5" t="n">
        <f aca="false">H26-D26-L26</f>
        <v>14</v>
      </c>
    </row>
    <row r="27" customFormat="false" ht="12.8" hidden="false" customHeight="false" outlineLevel="0" collapsed="false">
      <c r="A27" s="5" t="str">
        <f aca="false">Генераторы!A$3</f>
        <v>SG-3KT</v>
      </c>
      <c r="B27" s="5" t="n">
        <f aca="false">Генераторы!B$3</f>
        <v>15</v>
      </c>
      <c r="C27" s="5" t="str">
        <f aca="false">Генераторы!C$3</f>
        <v>3+</v>
      </c>
      <c r="D27" s="5" t="n">
        <f aca="false">Генераторы!D$3</f>
        <v>3</v>
      </c>
      <c r="E27" s="5" t="str">
        <f aca="false">Генераторы!E$3</f>
        <v>-</v>
      </c>
      <c r="F27" s="5" t="str">
        <f aca="false">Двигатели!A$4</f>
        <v>LQB-L</v>
      </c>
      <c r="G27" s="5" t="n">
        <f aca="false">Двигатели!B$4</f>
        <v>10</v>
      </c>
      <c r="H27" s="5" t="n">
        <f aca="false">Двигатели!C$4</f>
        <v>20</v>
      </c>
      <c r="I27" s="1" t="str">
        <f aca="false">Орудия!A$4</f>
        <v>MC-3</v>
      </c>
      <c r="J27" s="1" t="str">
        <f aca="false">Орудия!B$4</f>
        <v>ракета</v>
      </c>
      <c r="K27" s="1" t="n">
        <f aca="false">Орудия!C$4</f>
        <v>3</v>
      </c>
      <c r="L27" s="1" t="n">
        <f aca="false">Орудия!D$4</f>
        <v>4</v>
      </c>
      <c r="M27" s="5" t="str">
        <f aca="false">Орудия!E$4</f>
        <v>8/18'</v>
      </c>
      <c r="N27" s="5" t="str">
        <f aca="false">Орудия!F$4</f>
        <v>-</v>
      </c>
      <c r="O27" s="5" t="n">
        <f aca="false">B27-G27-K27</f>
        <v>2</v>
      </c>
      <c r="P27" s="5" t="n">
        <f aca="false">H27-D27-L27</f>
        <v>13</v>
      </c>
    </row>
    <row r="28" customFormat="false" ht="12.8" hidden="false" customHeight="false" outlineLevel="0" collapsed="false">
      <c r="A28" s="5" t="str">
        <f aca="false">Генераторы!A$4</f>
        <v>SG-8KT</v>
      </c>
      <c r="B28" s="5" t="n">
        <f aca="false">Генераторы!B$4</f>
        <v>20</v>
      </c>
      <c r="C28" s="5" t="str">
        <f aca="false">Генераторы!C$4</f>
        <v>4+</v>
      </c>
      <c r="D28" s="5" t="n">
        <f aca="false">Генераторы!D$4</f>
        <v>8</v>
      </c>
      <c r="E28" s="5" t="str">
        <f aca="false">Генераторы!E$4</f>
        <v>-</v>
      </c>
      <c r="F28" s="5" t="str">
        <f aca="false">Двигатели!A$4</f>
        <v>LQB-L</v>
      </c>
      <c r="G28" s="5" t="n">
        <f aca="false">Двигатели!B$4</f>
        <v>10</v>
      </c>
      <c r="H28" s="5" t="n">
        <f aca="false">Двигатели!C$4</f>
        <v>20</v>
      </c>
      <c r="I28" s="1" t="str">
        <f aca="false">Орудия!A$4</f>
        <v>MC-3</v>
      </c>
      <c r="J28" s="1" t="str">
        <f aca="false">Орудия!B$4</f>
        <v>ракета</v>
      </c>
      <c r="K28" s="1" t="n">
        <f aca="false">Орудия!C$4</f>
        <v>3</v>
      </c>
      <c r="L28" s="1" t="n">
        <f aca="false">Орудия!D$4</f>
        <v>4</v>
      </c>
      <c r="M28" s="5" t="str">
        <f aca="false">Орудия!E$4</f>
        <v>8/18'</v>
      </c>
      <c r="N28" s="5" t="str">
        <f aca="false">Орудия!F$4</f>
        <v>-</v>
      </c>
      <c r="O28" s="5" t="n">
        <f aca="false">B28-G28-K28</f>
        <v>7</v>
      </c>
      <c r="P28" s="5" t="n">
        <f aca="false">H28-D28-L28</f>
        <v>8</v>
      </c>
    </row>
    <row r="29" customFormat="false" ht="12.8" hidden="false" customHeight="false" outlineLevel="0" collapsed="false">
      <c r="A29" s="5" t="str">
        <f aca="false">Генераторы!A$2</f>
        <v>SG-2KT</v>
      </c>
      <c r="B29" s="5" t="n">
        <f aca="false">Генераторы!B$2</f>
        <v>10</v>
      </c>
      <c r="C29" s="5" t="str">
        <f aca="false">Генераторы!C$2</f>
        <v>3+</v>
      </c>
      <c r="D29" s="5" t="n">
        <f aca="false">Генераторы!D$2</f>
        <v>2</v>
      </c>
      <c r="E29" s="5" t="str">
        <f aca="false">Генераторы!E$2</f>
        <v>-</v>
      </c>
      <c r="F29" s="5" t="str">
        <f aca="false">Двигатели!A$2</f>
        <v>LQB-S</v>
      </c>
      <c r="G29" s="5" t="n">
        <f aca="false">Двигатели!B$2</f>
        <v>3</v>
      </c>
      <c r="H29" s="5" t="n">
        <f aca="false">Двигатели!C$2</f>
        <v>16</v>
      </c>
      <c r="I29" s="1" t="str">
        <f aca="false">Орудия!A$5</f>
        <v>RP-4</v>
      </c>
      <c r="J29" s="1" t="str">
        <f aca="false">Орудия!B$5</f>
        <v>Кристалл</v>
      </c>
      <c r="K29" s="1" t="n">
        <f aca="false">Орудия!C$5</f>
        <v>4</v>
      </c>
      <c r="L29" s="1" t="n">
        <f aca="false">Орудия!D$5</f>
        <v>4</v>
      </c>
      <c r="M29" s="5" t="str">
        <f aca="false">Орудия!E$5</f>
        <v>8/16'</v>
      </c>
      <c r="N29" s="5" t="str">
        <f aca="false">Орудия!F$5</f>
        <v>-</v>
      </c>
      <c r="O29" s="5" t="n">
        <f aca="false">B29-G29-K29</f>
        <v>3</v>
      </c>
      <c r="P29" s="5" t="n">
        <f aca="false">H29-D29-L29</f>
        <v>10</v>
      </c>
    </row>
    <row r="30" customFormat="false" ht="12.8" hidden="false" customHeight="false" outlineLevel="0" collapsed="false">
      <c r="A30" s="5" t="str">
        <f aca="false">Генераторы!A$3</f>
        <v>SG-3KT</v>
      </c>
      <c r="B30" s="5" t="n">
        <f aca="false">Генераторы!B$3</f>
        <v>15</v>
      </c>
      <c r="C30" s="5" t="str">
        <f aca="false">Генераторы!C$3</f>
        <v>3+</v>
      </c>
      <c r="D30" s="5" t="n">
        <f aca="false">Генераторы!D$3</f>
        <v>3</v>
      </c>
      <c r="E30" s="5" t="str">
        <f aca="false">Генераторы!E$3</f>
        <v>-</v>
      </c>
      <c r="F30" s="5" t="str">
        <f aca="false">Двигатели!A$2</f>
        <v>LQB-S</v>
      </c>
      <c r="G30" s="5" t="n">
        <f aca="false">Двигатели!B$2</f>
        <v>3</v>
      </c>
      <c r="H30" s="5" t="n">
        <f aca="false">Двигатели!C$2</f>
        <v>16</v>
      </c>
      <c r="I30" s="1" t="str">
        <f aca="false">Орудия!A$5</f>
        <v>RP-4</v>
      </c>
      <c r="J30" s="1" t="str">
        <f aca="false">Орудия!B$5</f>
        <v>Кристалл</v>
      </c>
      <c r="K30" s="1" t="n">
        <f aca="false">Орудия!C$5</f>
        <v>4</v>
      </c>
      <c r="L30" s="1" t="n">
        <f aca="false">Орудия!D$5</f>
        <v>4</v>
      </c>
      <c r="M30" s="5" t="str">
        <f aca="false">Орудия!E$5</f>
        <v>8/16'</v>
      </c>
      <c r="N30" s="5" t="str">
        <f aca="false">Орудия!F$5</f>
        <v>-</v>
      </c>
      <c r="O30" s="5" t="n">
        <f aca="false">B30-G30-K30</f>
        <v>8</v>
      </c>
      <c r="P30" s="5" t="n">
        <f aca="false">H30-D30-L30</f>
        <v>9</v>
      </c>
    </row>
    <row r="31" customFormat="false" ht="12.8" hidden="false" customHeight="false" outlineLevel="0" collapsed="false">
      <c r="A31" s="5" t="str">
        <f aca="false">Генераторы!A$4</f>
        <v>SG-8KT</v>
      </c>
      <c r="B31" s="5" t="n">
        <f aca="false">Генераторы!B$4</f>
        <v>20</v>
      </c>
      <c r="C31" s="5" t="str">
        <f aca="false">Генераторы!C$4</f>
        <v>4+</v>
      </c>
      <c r="D31" s="5" t="n">
        <f aca="false">Генераторы!D$4</f>
        <v>8</v>
      </c>
      <c r="E31" s="5" t="str">
        <f aca="false">Генераторы!E$4</f>
        <v>-</v>
      </c>
      <c r="F31" s="5" t="str">
        <f aca="false">Двигатели!A$2</f>
        <v>LQB-S</v>
      </c>
      <c r="G31" s="5" t="n">
        <f aca="false">Двигатели!B$2</f>
        <v>3</v>
      </c>
      <c r="H31" s="5" t="n">
        <f aca="false">Двигатели!C$2</f>
        <v>16</v>
      </c>
      <c r="I31" s="1" t="str">
        <f aca="false">Орудия!A$5</f>
        <v>RP-4</v>
      </c>
      <c r="J31" s="1" t="str">
        <f aca="false">Орудия!B$5</f>
        <v>Кристалл</v>
      </c>
      <c r="K31" s="1" t="n">
        <f aca="false">Орудия!C$5</f>
        <v>4</v>
      </c>
      <c r="L31" s="1" t="n">
        <f aca="false">Орудия!D$5</f>
        <v>4</v>
      </c>
      <c r="M31" s="5" t="str">
        <f aca="false">Орудия!E$5</f>
        <v>8/16'</v>
      </c>
      <c r="N31" s="5" t="str">
        <f aca="false">Орудия!F$5</f>
        <v>-</v>
      </c>
      <c r="O31" s="5" t="n">
        <f aca="false">B31-G31-K31</f>
        <v>13</v>
      </c>
      <c r="P31" s="5" t="n">
        <f aca="false">H31-D31-L31</f>
        <v>4</v>
      </c>
    </row>
    <row r="32" customFormat="false" ht="12.8" hidden="false" customHeight="false" outlineLevel="0" collapsed="false">
      <c r="A32" s="5" t="str">
        <f aca="false">Генераторы!A$2</f>
        <v>SG-2KT</v>
      </c>
      <c r="B32" s="5" t="n">
        <f aca="false">Генераторы!B$2</f>
        <v>10</v>
      </c>
      <c r="C32" s="5" t="str">
        <f aca="false">Генераторы!C$2</f>
        <v>3+</v>
      </c>
      <c r="D32" s="5" t="n">
        <f aca="false">Генераторы!D$2</f>
        <v>2</v>
      </c>
      <c r="E32" s="5" t="str">
        <f aca="false">Генераторы!E$2</f>
        <v>-</v>
      </c>
      <c r="F32" s="5" t="str">
        <f aca="false">Двигатели!A$3</f>
        <v>LQB-M</v>
      </c>
      <c r="G32" s="5" t="n">
        <f aca="false">Двигатели!B$3</f>
        <v>6</v>
      </c>
      <c r="H32" s="5" t="n">
        <f aca="false">Двигатели!C$3</f>
        <v>18</v>
      </c>
      <c r="I32" s="1" t="str">
        <f aca="false">Орудия!A$5</f>
        <v>RP-4</v>
      </c>
      <c r="J32" s="1" t="str">
        <f aca="false">Орудия!B$5</f>
        <v>Кристалл</v>
      </c>
      <c r="K32" s="1" t="n">
        <f aca="false">Орудия!C$5</f>
        <v>4</v>
      </c>
      <c r="L32" s="1" t="n">
        <f aca="false">Орудия!D$5</f>
        <v>4</v>
      </c>
      <c r="M32" s="5" t="str">
        <f aca="false">Орудия!E$5</f>
        <v>8/16'</v>
      </c>
      <c r="N32" s="5" t="str">
        <f aca="false">Орудия!F$5</f>
        <v>-</v>
      </c>
      <c r="O32" s="5" t="n">
        <f aca="false">B32-G32-K32</f>
        <v>0</v>
      </c>
      <c r="P32" s="5" t="n">
        <f aca="false">H32-D32-L32</f>
        <v>12</v>
      </c>
    </row>
    <row r="33" customFormat="false" ht="12.8" hidden="false" customHeight="false" outlineLevel="0" collapsed="false">
      <c r="A33" s="5" t="str">
        <f aca="false">Генераторы!A$3</f>
        <v>SG-3KT</v>
      </c>
      <c r="B33" s="5" t="n">
        <f aca="false">Генераторы!B$3</f>
        <v>15</v>
      </c>
      <c r="C33" s="5" t="str">
        <f aca="false">Генераторы!C$3</f>
        <v>3+</v>
      </c>
      <c r="D33" s="5" t="n">
        <f aca="false">Генераторы!D$3</f>
        <v>3</v>
      </c>
      <c r="E33" s="5" t="str">
        <f aca="false">Генераторы!E$3</f>
        <v>-</v>
      </c>
      <c r="F33" s="5" t="str">
        <f aca="false">Двигатели!A$3</f>
        <v>LQB-M</v>
      </c>
      <c r="G33" s="5" t="n">
        <f aca="false">Двигатели!B$3</f>
        <v>6</v>
      </c>
      <c r="H33" s="5" t="n">
        <f aca="false">Двигатели!C$3</f>
        <v>18</v>
      </c>
      <c r="I33" s="1" t="str">
        <f aca="false">Орудия!A$5</f>
        <v>RP-4</v>
      </c>
      <c r="J33" s="1" t="str">
        <f aca="false">Орудия!B$5</f>
        <v>Кристалл</v>
      </c>
      <c r="K33" s="1" t="n">
        <f aca="false">Орудия!C$5</f>
        <v>4</v>
      </c>
      <c r="L33" s="1" t="n">
        <f aca="false">Орудия!D$5</f>
        <v>4</v>
      </c>
      <c r="M33" s="5" t="str">
        <f aca="false">Орудия!E$5</f>
        <v>8/16'</v>
      </c>
      <c r="N33" s="5" t="str">
        <f aca="false">Орудия!F$5</f>
        <v>-</v>
      </c>
      <c r="O33" s="5" t="n">
        <f aca="false">B33-G33-K33</f>
        <v>5</v>
      </c>
      <c r="P33" s="5" t="n">
        <f aca="false">H33-D33-L33</f>
        <v>11</v>
      </c>
    </row>
    <row r="34" customFormat="false" ht="12.8" hidden="false" customHeight="false" outlineLevel="0" collapsed="false">
      <c r="A34" s="5" t="str">
        <f aca="false">Генераторы!A$4</f>
        <v>SG-8KT</v>
      </c>
      <c r="B34" s="5" t="n">
        <f aca="false">Генераторы!B$4</f>
        <v>20</v>
      </c>
      <c r="C34" s="5" t="str">
        <f aca="false">Генераторы!C$4</f>
        <v>4+</v>
      </c>
      <c r="D34" s="5" t="n">
        <f aca="false">Генераторы!D$4</f>
        <v>8</v>
      </c>
      <c r="E34" s="5" t="str">
        <f aca="false">Генераторы!E$4</f>
        <v>-</v>
      </c>
      <c r="F34" s="5" t="str">
        <f aca="false">Двигатели!A$3</f>
        <v>LQB-M</v>
      </c>
      <c r="G34" s="5" t="n">
        <f aca="false">Двигатели!B$3</f>
        <v>6</v>
      </c>
      <c r="H34" s="5" t="n">
        <f aca="false">Двигатели!C$3</f>
        <v>18</v>
      </c>
      <c r="I34" s="1" t="str">
        <f aca="false">Орудия!A$5</f>
        <v>RP-4</v>
      </c>
      <c r="J34" s="1" t="str">
        <f aca="false">Орудия!B$5</f>
        <v>Кристалл</v>
      </c>
      <c r="K34" s="1" t="n">
        <f aca="false">Орудия!C$5</f>
        <v>4</v>
      </c>
      <c r="L34" s="1" t="n">
        <f aca="false">Орудия!D$5</f>
        <v>4</v>
      </c>
      <c r="M34" s="5" t="str">
        <f aca="false">Орудия!E$5</f>
        <v>8/16'</v>
      </c>
      <c r="N34" s="5" t="str">
        <f aca="false">Орудия!F$5</f>
        <v>-</v>
      </c>
      <c r="O34" s="5" t="n">
        <f aca="false">B34-G34-K34</f>
        <v>10</v>
      </c>
      <c r="P34" s="5" t="n">
        <f aca="false">H34-D34-L34</f>
        <v>6</v>
      </c>
    </row>
    <row r="35" customFormat="false" ht="12.8" hidden="false" customHeight="false" outlineLevel="0" collapsed="false">
      <c r="A35" s="5" t="str">
        <f aca="false">Генераторы!A$2</f>
        <v>SG-2KT</v>
      </c>
      <c r="B35" s="5" t="n">
        <f aca="false">Генераторы!B$2</f>
        <v>10</v>
      </c>
      <c r="C35" s="5" t="str">
        <f aca="false">Генераторы!C$2</f>
        <v>3+</v>
      </c>
      <c r="D35" s="5" t="n">
        <f aca="false">Генераторы!D$2</f>
        <v>2</v>
      </c>
      <c r="E35" s="5" t="str">
        <f aca="false">Генераторы!E$2</f>
        <v>-</v>
      </c>
      <c r="F35" s="5" t="str">
        <f aca="false">Двигатели!A$4</f>
        <v>LQB-L</v>
      </c>
      <c r="G35" s="5" t="n">
        <f aca="false">Двигатели!B$4</f>
        <v>10</v>
      </c>
      <c r="H35" s="5" t="n">
        <f aca="false">Двигатели!C$4</f>
        <v>20</v>
      </c>
      <c r="I35" s="1" t="str">
        <f aca="false">Орудия!A$5</f>
        <v>RP-4</v>
      </c>
      <c r="J35" s="1" t="str">
        <f aca="false">Орудия!B$5</f>
        <v>Кристалл</v>
      </c>
      <c r="K35" s="1" t="n">
        <f aca="false">Орудия!C$5</f>
        <v>4</v>
      </c>
      <c r="L35" s="1" t="n">
        <f aca="false">Орудия!D$5</f>
        <v>4</v>
      </c>
      <c r="M35" s="5" t="str">
        <f aca="false">Орудия!E$5</f>
        <v>8/16'</v>
      </c>
      <c r="N35" s="5" t="str">
        <f aca="false">Орудия!F$5</f>
        <v>-</v>
      </c>
      <c r="O35" s="5" t="n">
        <f aca="false">B35-G35-K35</f>
        <v>-4</v>
      </c>
      <c r="P35" s="5" t="n">
        <f aca="false">H35-D35-L35</f>
        <v>14</v>
      </c>
    </row>
    <row r="36" customFormat="false" ht="12.8" hidden="false" customHeight="false" outlineLevel="0" collapsed="false">
      <c r="A36" s="5" t="str">
        <f aca="false">Генераторы!A$3</f>
        <v>SG-3KT</v>
      </c>
      <c r="B36" s="5" t="n">
        <f aca="false">Генераторы!B$3</f>
        <v>15</v>
      </c>
      <c r="C36" s="5" t="str">
        <f aca="false">Генераторы!C$3</f>
        <v>3+</v>
      </c>
      <c r="D36" s="5" t="n">
        <f aca="false">Генераторы!D$3</f>
        <v>3</v>
      </c>
      <c r="E36" s="5" t="str">
        <f aca="false">Генераторы!E$3</f>
        <v>-</v>
      </c>
      <c r="F36" s="5" t="str">
        <f aca="false">Двигатели!A$4</f>
        <v>LQB-L</v>
      </c>
      <c r="G36" s="5" t="n">
        <f aca="false">Двигатели!B$4</f>
        <v>10</v>
      </c>
      <c r="H36" s="5" t="n">
        <f aca="false">Двигатели!C$4</f>
        <v>20</v>
      </c>
      <c r="I36" s="1" t="str">
        <f aca="false">Орудия!A$5</f>
        <v>RP-4</v>
      </c>
      <c r="J36" s="1" t="str">
        <f aca="false">Орудия!B$5</f>
        <v>Кристалл</v>
      </c>
      <c r="K36" s="1" t="n">
        <f aca="false">Орудия!C$5</f>
        <v>4</v>
      </c>
      <c r="L36" s="1" t="n">
        <f aca="false">Орудия!D$5</f>
        <v>4</v>
      </c>
      <c r="M36" s="5" t="str">
        <f aca="false">Орудия!E$5</f>
        <v>8/16'</v>
      </c>
      <c r="N36" s="5" t="str">
        <f aca="false">Орудия!F$5</f>
        <v>-</v>
      </c>
      <c r="O36" s="5" t="n">
        <f aca="false">B36-G36-K36</f>
        <v>1</v>
      </c>
      <c r="P36" s="5" t="n">
        <f aca="false">H36-D36-L36</f>
        <v>13</v>
      </c>
    </row>
    <row r="37" customFormat="false" ht="12.8" hidden="false" customHeight="false" outlineLevel="0" collapsed="false">
      <c r="A37" s="5" t="str">
        <f aca="false">Генераторы!A$4</f>
        <v>SG-8KT</v>
      </c>
      <c r="B37" s="5" t="n">
        <f aca="false">Генераторы!B$4</f>
        <v>20</v>
      </c>
      <c r="C37" s="5" t="str">
        <f aca="false">Генераторы!C$4</f>
        <v>4+</v>
      </c>
      <c r="D37" s="5" t="n">
        <f aca="false">Генераторы!D$4</f>
        <v>8</v>
      </c>
      <c r="E37" s="5" t="str">
        <f aca="false">Генераторы!E$4</f>
        <v>-</v>
      </c>
      <c r="F37" s="5" t="str">
        <f aca="false">Двигатели!A$4</f>
        <v>LQB-L</v>
      </c>
      <c r="G37" s="5" t="n">
        <f aca="false">Двигатели!B$4</f>
        <v>10</v>
      </c>
      <c r="H37" s="5" t="n">
        <f aca="false">Двигатели!C$4</f>
        <v>20</v>
      </c>
      <c r="I37" s="1" t="str">
        <f aca="false">Орудия!A$5</f>
        <v>RP-4</v>
      </c>
      <c r="J37" s="1" t="str">
        <f aca="false">Орудия!B$5</f>
        <v>Кристалл</v>
      </c>
      <c r="K37" s="1" t="n">
        <f aca="false">Орудия!C$5</f>
        <v>4</v>
      </c>
      <c r="L37" s="1" t="n">
        <f aca="false">Орудия!D$5</f>
        <v>4</v>
      </c>
      <c r="M37" s="5" t="str">
        <f aca="false">Орудия!E$5</f>
        <v>8/16'</v>
      </c>
      <c r="N37" s="5" t="str">
        <f aca="false">Орудия!F$5</f>
        <v>-</v>
      </c>
      <c r="O37" s="5" t="n">
        <f aca="false">B37-G37-K37</f>
        <v>6</v>
      </c>
      <c r="P37" s="5" t="n">
        <f aca="false">H37-D37-L37</f>
        <v>8</v>
      </c>
    </row>
    <row r="38" customFormat="false" ht="12.8" hidden="false" customHeight="false" outlineLevel="0" collapsed="false">
      <c r="A38" s="5" t="str">
        <f aca="false">Генераторы!A$2</f>
        <v>SG-2KT</v>
      </c>
      <c r="B38" s="5" t="n">
        <f aca="false">Генераторы!B$2</f>
        <v>10</v>
      </c>
      <c r="C38" s="5" t="str">
        <f aca="false">Генераторы!C$2</f>
        <v>3+</v>
      </c>
      <c r="D38" s="5" t="n">
        <f aca="false">Генераторы!D$2</f>
        <v>2</v>
      </c>
      <c r="E38" s="5" t="str">
        <f aca="false">Генераторы!E$2</f>
        <v>-</v>
      </c>
      <c r="F38" s="5" t="str">
        <f aca="false">Двигатели!A$2</f>
        <v>LQB-S</v>
      </c>
      <c r="G38" s="5" t="n">
        <f aca="false">Двигатели!B$2</f>
        <v>3</v>
      </c>
      <c r="H38" s="5" t="n">
        <f aca="false">Двигатели!C$2</f>
        <v>16</v>
      </c>
      <c r="I38" s="1" t="str">
        <f aca="false">Орудия!A$6</f>
        <v>H-BT-10</v>
      </c>
      <c r="J38" s="1" t="str">
        <f aca="false">Орудия!B$6</f>
        <v>тяж. Болт</v>
      </c>
      <c r="K38" s="1" t="n">
        <f aca="false">Орудия!C$6</f>
        <v>10</v>
      </c>
      <c r="L38" s="1" t="n">
        <f aca="false">Орудия!D$6</f>
        <v>5</v>
      </c>
      <c r="M38" s="5" t="str">
        <f aca="false">Орудия!E$6</f>
        <v>18/32'</v>
      </c>
      <c r="N38" s="5" t="str">
        <f aca="false">Орудия!F$6</f>
        <v>-</v>
      </c>
      <c r="O38" s="5" t="n">
        <f aca="false">B38-G38-K38</f>
        <v>-3</v>
      </c>
      <c r="P38" s="5" t="n">
        <f aca="false">H38-D38-L38</f>
        <v>9</v>
      </c>
    </row>
    <row r="39" customFormat="false" ht="12.8" hidden="false" customHeight="false" outlineLevel="0" collapsed="false">
      <c r="A39" s="5" t="str">
        <f aca="false">Генераторы!A$3</f>
        <v>SG-3KT</v>
      </c>
      <c r="B39" s="5" t="n">
        <f aca="false">Генераторы!B$3</f>
        <v>15</v>
      </c>
      <c r="C39" s="5" t="str">
        <f aca="false">Генераторы!C$3</f>
        <v>3+</v>
      </c>
      <c r="D39" s="5" t="n">
        <f aca="false">Генераторы!D$3</f>
        <v>3</v>
      </c>
      <c r="E39" s="5" t="str">
        <f aca="false">Генераторы!E$3</f>
        <v>-</v>
      </c>
      <c r="F39" s="5" t="str">
        <f aca="false">Двигатели!A$2</f>
        <v>LQB-S</v>
      </c>
      <c r="G39" s="5" t="n">
        <f aca="false">Двигатели!B$2</f>
        <v>3</v>
      </c>
      <c r="H39" s="5" t="n">
        <f aca="false">Двигатели!C$2</f>
        <v>16</v>
      </c>
      <c r="I39" s="1" t="str">
        <f aca="false">Орудия!A$6</f>
        <v>H-BT-10</v>
      </c>
      <c r="J39" s="1" t="str">
        <f aca="false">Орудия!B$6</f>
        <v>тяж. Болт</v>
      </c>
      <c r="K39" s="1" t="n">
        <f aca="false">Орудия!C$6</f>
        <v>10</v>
      </c>
      <c r="L39" s="1" t="n">
        <f aca="false">Орудия!D$6</f>
        <v>5</v>
      </c>
      <c r="M39" s="5" t="str">
        <f aca="false">Орудия!E$6</f>
        <v>18/32'</v>
      </c>
      <c r="N39" s="5" t="str">
        <f aca="false">Орудия!F$6</f>
        <v>-</v>
      </c>
      <c r="O39" s="5" t="n">
        <f aca="false">B39-G39-K39</f>
        <v>2</v>
      </c>
      <c r="P39" s="5" t="n">
        <f aca="false">H39-D39-L39</f>
        <v>8</v>
      </c>
    </row>
    <row r="40" customFormat="false" ht="12.8" hidden="false" customHeight="false" outlineLevel="0" collapsed="false">
      <c r="A40" s="5" t="str">
        <f aca="false">Генераторы!A$4</f>
        <v>SG-8KT</v>
      </c>
      <c r="B40" s="5" t="n">
        <f aca="false">Генераторы!B$4</f>
        <v>20</v>
      </c>
      <c r="C40" s="5" t="str">
        <f aca="false">Генераторы!C$4</f>
        <v>4+</v>
      </c>
      <c r="D40" s="5" t="n">
        <f aca="false">Генераторы!D$4</f>
        <v>8</v>
      </c>
      <c r="E40" s="5" t="str">
        <f aca="false">Генераторы!E$4</f>
        <v>-</v>
      </c>
      <c r="F40" s="5" t="str">
        <f aca="false">Двигатели!A$2</f>
        <v>LQB-S</v>
      </c>
      <c r="G40" s="5" t="n">
        <f aca="false">Двигатели!B$2</f>
        <v>3</v>
      </c>
      <c r="H40" s="5" t="n">
        <f aca="false">Двигатели!C$2</f>
        <v>16</v>
      </c>
      <c r="I40" s="1" t="str">
        <f aca="false">Орудия!A$6</f>
        <v>H-BT-10</v>
      </c>
      <c r="J40" s="1" t="str">
        <f aca="false">Орудия!B$6</f>
        <v>тяж. Болт</v>
      </c>
      <c r="K40" s="1" t="n">
        <f aca="false">Орудия!C$6</f>
        <v>10</v>
      </c>
      <c r="L40" s="1" t="n">
        <f aca="false">Орудия!D$6</f>
        <v>5</v>
      </c>
      <c r="M40" s="5" t="str">
        <f aca="false">Орудия!E$6</f>
        <v>18/32'</v>
      </c>
      <c r="N40" s="5" t="str">
        <f aca="false">Орудия!F$6</f>
        <v>-</v>
      </c>
      <c r="O40" s="5" t="n">
        <f aca="false">B40-G40-K40</f>
        <v>7</v>
      </c>
      <c r="P40" s="5" t="n">
        <f aca="false">H40-D40-L40</f>
        <v>3</v>
      </c>
    </row>
    <row r="41" customFormat="false" ht="12.8" hidden="false" customHeight="false" outlineLevel="0" collapsed="false">
      <c r="A41" s="5" t="str">
        <f aca="false">Генераторы!A$2</f>
        <v>SG-2KT</v>
      </c>
      <c r="B41" s="5" t="n">
        <f aca="false">Генераторы!B$2</f>
        <v>10</v>
      </c>
      <c r="C41" s="5" t="str">
        <f aca="false">Генераторы!C$2</f>
        <v>3+</v>
      </c>
      <c r="D41" s="5" t="n">
        <f aca="false">Генераторы!D$2</f>
        <v>2</v>
      </c>
      <c r="E41" s="5" t="str">
        <f aca="false">Генераторы!E$2</f>
        <v>-</v>
      </c>
      <c r="F41" s="5" t="str">
        <f aca="false">Двигатели!A$3</f>
        <v>LQB-M</v>
      </c>
      <c r="G41" s="5" t="n">
        <f aca="false">Двигатели!B$3</f>
        <v>6</v>
      </c>
      <c r="H41" s="5" t="n">
        <f aca="false">Двигатели!C$3</f>
        <v>18</v>
      </c>
      <c r="I41" s="1" t="str">
        <f aca="false">Орудия!A$6</f>
        <v>H-BT-10</v>
      </c>
      <c r="J41" s="1" t="str">
        <f aca="false">Орудия!B$6</f>
        <v>тяж. Болт</v>
      </c>
      <c r="K41" s="1" t="n">
        <f aca="false">Орудия!C$6</f>
        <v>10</v>
      </c>
      <c r="L41" s="1" t="n">
        <f aca="false">Орудия!D$6</f>
        <v>5</v>
      </c>
      <c r="M41" s="5" t="str">
        <f aca="false">Орудия!E$6</f>
        <v>18/32'</v>
      </c>
      <c r="N41" s="5" t="str">
        <f aca="false">Орудия!F$6</f>
        <v>-</v>
      </c>
      <c r="O41" s="5" t="n">
        <f aca="false">B41-G41-K41</f>
        <v>-6</v>
      </c>
      <c r="P41" s="5" t="n">
        <f aca="false">H41-D41-L41</f>
        <v>11</v>
      </c>
    </row>
    <row r="42" customFormat="false" ht="12.8" hidden="false" customHeight="false" outlineLevel="0" collapsed="false">
      <c r="A42" s="5" t="str">
        <f aca="false">Генераторы!A$3</f>
        <v>SG-3KT</v>
      </c>
      <c r="B42" s="5" t="n">
        <f aca="false">Генераторы!B$3</f>
        <v>15</v>
      </c>
      <c r="C42" s="5" t="str">
        <f aca="false">Генераторы!C$3</f>
        <v>3+</v>
      </c>
      <c r="D42" s="5" t="n">
        <f aca="false">Генераторы!D$3</f>
        <v>3</v>
      </c>
      <c r="E42" s="5" t="str">
        <f aca="false">Генераторы!E$3</f>
        <v>-</v>
      </c>
      <c r="F42" s="5" t="str">
        <f aca="false">Двигатели!A$3</f>
        <v>LQB-M</v>
      </c>
      <c r="G42" s="5" t="n">
        <f aca="false">Двигатели!B$3</f>
        <v>6</v>
      </c>
      <c r="H42" s="5" t="n">
        <f aca="false">Двигатели!C$3</f>
        <v>18</v>
      </c>
      <c r="I42" s="1" t="str">
        <f aca="false">Орудия!A$6</f>
        <v>H-BT-10</v>
      </c>
      <c r="J42" s="1" t="str">
        <f aca="false">Орудия!B$6</f>
        <v>тяж. Болт</v>
      </c>
      <c r="K42" s="1" t="n">
        <f aca="false">Орудия!C$6</f>
        <v>10</v>
      </c>
      <c r="L42" s="1" t="n">
        <f aca="false">Орудия!D$6</f>
        <v>5</v>
      </c>
      <c r="M42" s="5" t="str">
        <f aca="false">Орудия!E$6</f>
        <v>18/32'</v>
      </c>
      <c r="N42" s="5" t="str">
        <f aca="false">Орудия!F$6</f>
        <v>-</v>
      </c>
      <c r="O42" s="5" t="n">
        <f aca="false">B42-G42-K42</f>
        <v>-1</v>
      </c>
      <c r="P42" s="5" t="n">
        <f aca="false">H42-D42-L42</f>
        <v>10</v>
      </c>
    </row>
    <row r="43" customFormat="false" ht="12.8" hidden="false" customHeight="false" outlineLevel="0" collapsed="false">
      <c r="A43" s="5" t="str">
        <f aca="false">Генераторы!A$4</f>
        <v>SG-8KT</v>
      </c>
      <c r="B43" s="5" t="n">
        <f aca="false">Генераторы!B$4</f>
        <v>20</v>
      </c>
      <c r="C43" s="5" t="str">
        <f aca="false">Генераторы!C$4</f>
        <v>4+</v>
      </c>
      <c r="D43" s="5" t="n">
        <f aca="false">Генераторы!D$4</f>
        <v>8</v>
      </c>
      <c r="E43" s="5" t="str">
        <f aca="false">Генераторы!E$4</f>
        <v>-</v>
      </c>
      <c r="F43" s="5" t="str">
        <f aca="false">Двигатели!A$3</f>
        <v>LQB-M</v>
      </c>
      <c r="G43" s="5" t="n">
        <f aca="false">Двигатели!B$3</f>
        <v>6</v>
      </c>
      <c r="H43" s="5" t="n">
        <f aca="false">Двигатели!C$3</f>
        <v>18</v>
      </c>
      <c r="I43" s="1" t="str">
        <f aca="false">Орудия!A$6</f>
        <v>H-BT-10</v>
      </c>
      <c r="J43" s="1" t="str">
        <f aca="false">Орудия!B$6</f>
        <v>тяж. Болт</v>
      </c>
      <c r="K43" s="1" t="n">
        <f aca="false">Орудия!C$6</f>
        <v>10</v>
      </c>
      <c r="L43" s="1" t="n">
        <f aca="false">Орудия!D$6</f>
        <v>5</v>
      </c>
      <c r="M43" s="5" t="str">
        <f aca="false">Орудия!E$6</f>
        <v>18/32'</v>
      </c>
      <c r="N43" s="5" t="str">
        <f aca="false">Орудия!F$6</f>
        <v>-</v>
      </c>
      <c r="O43" s="5" t="n">
        <f aca="false">B43-G43-K43</f>
        <v>4</v>
      </c>
      <c r="P43" s="5" t="n">
        <f aca="false">H43-D43-L43</f>
        <v>5</v>
      </c>
    </row>
    <row r="44" customFormat="false" ht="12.8" hidden="false" customHeight="false" outlineLevel="0" collapsed="false">
      <c r="A44" s="5" t="str">
        <f aca="false">Генераторы!A$2</f>
        <v>SG-2KT</v>
      </c>
      <c r="B44" s="5" t="n">
        <f aca="false">Генераторы!B$2</f>
        <v>10</v>
      </c>
      <c r="C44" s="5" t="str">
        <f aca="false">Генераторы!C$2</f>
        <v>3+</v>
      </c>
      <c r="D44" s="5" t="n">
        <f aca="false">Генераторы!D$2</f>
        <v>2</v>
      </c>
      <c r="E44" s="5" t="str">
        <f aca="false">Генераторы!E$2</f>
        <v>-</v>
      </c>
      <c r="F44" s="5" t="str">
        <f aca="false">Двигатели!A$4</f>
        <v>LQB-L</v>
      </c>
      <c r="G44" s="5" t="n">
        <f aca="false">Двигатели!B$4</f>
        <v>10</v>
      </c>
      <c r="H44" s="5" t="n">
        <f aca="false">Двигатели!C$4</f>
        <v>20</v>
      </c>
      <c r="I44" s="1" t="str">
        <f aca="false">Орудия!A$6</f>
        <v>H-BT-10</v>
      </c>
      <c r="J44" s="1" t="str">
        <f aca="false">Орудия!B$6</f>
        <v>тяж. Болт</v>
      </c>
      <c r="K44" s="1" t="n">
        <f aca="false">Орудия!C$6</f>
        <v>10</v>
      </c>
      <c r="L44" s="1" t="n">
        <f aca="false">Орудия!D$6</f>
        <v>5</v>
      </c>
      <c r="M44" s="5" t="str">
        <f aca="false">Орудия!E$6</f>
        <v>18/32'</v>
      </c>
      <c r="N44" s="5" t="str">
        <f aca="false">Орудия!F$6</f>
        <v>-</v>
      </c>
      <c r="O44" s="5" t="n">
        <f aca="false">B44-G44-K44</f>
        <v>-10</v>
      </c>
      <c r="P44" s="5" t="n">
        <f aca="false">H44-D44-L44</f>
        <v>13</v>
      </c>
    </row>
    <row r="45" customFormat="false" ht="12.8" hidden="false" customHeight="false" outlineLevel="0" collapsed="false">
      <c r="A45" s="5" t="str">
        <f aca="false">Генераторы!A$3</f>
        <v>SG-3KT</v>
      </c>
      <c r="B45" s="5" t="n">
        <f aca="false">Генераторы!B$3</f>
        <v>15</v>
      </c>
      <c r="C45" s="5" t="str">
        <f aca="false">Генераторы!C$3</f>
        <v>3+</v>
      </c>
      <c r="D45" s="5" t="n">
        <f aca="false">Генераторы!D$3</f>
        <v>3</v>
      </c>
      <c r="E45" s="5" t="str">
        <f aca="false">Генераторы!E$3</f>
        <v>-</v>
      </c>
      <c r="F45" s="5" t="str">
        <f aca="false">Двигатели!A$4</f>
        <v>LQB-L</v>
      </c>
      <c r="G45" s="5" t="n">
        <f aca="false">Двигатели!B$4</f>
        <v>10</v>
      </c>
      <c r="H45" s="5" t="n">
        <f aca="false">Двигатели!C$4</f>
        <v>20</v>
      </c>
      <c r="I45" s="1" t="str">
        <f aca="false">Орудия!A$6</f>
        <v>H-BT-10</v>
      </c>
      <c r="J45" s="1" t="str">
        <f aca="false">Орудия!B$6</f>
        <v>тяж. Болт</v>
      </c>
      <c r="K45" s="1" t="n">
        <f aca="false">Орудия!C$6</f>
        <v>10</v>
      </c>
      <c r="L45" s="1" t="n">
        <f aca="false">Орудия!D$6</f>
        <v>5</v>
      </c>
      <c r="M45" s="5" t="str">
        <f aca="false">Орудия!E$6</f>
        <v>18/32'</v>
      </c>
      <c r="N45" s="5" t="str">
        <f aca="false">Орудия!F$6</f>
        <v>-</v>
      </c>
      <c r="O45" s="5" t="n">
        <f aca="false">B45-G45-K45</f>
        <v>-5</v>
      </c>
      <c r="P45" s="5" t="n">
        <f aca="false">H45-D45-L45</f>
        <v>12</v>
      </c>
    </row>
    <row r="46" customFormat="false" ht="12.8" hidden="false" customHeight="false" outlineLevel="0" collapsed="false">
      <c r="A46" s="5" t="str">
        <f aca="false">Генераторы!A$4</f>
        <v>SG-8KT</v>
      </c>
      <c r="B46" s="5" t="n">
        <f aca="false">Генераторы!B$4</f>
        <v>20</v>
      </c>
      <c r="C46" s="5" t="str">
        <f aca="false">Генераторы!C$4</f>
        <v>4+</v>
      </c>
      <c r="D46" s="5" t="n">
        <f aca="false">Генераторы!D$4</f>
        <v>8</v>
      </c>
      <c r="E46" s="5" t="str">
        <f aca="false">Генераторы!E$4</f>
        <v>-</v>
      </c>
      <c r="F46" s="5" t="str">
        <f aca="false">Двигатели!A$4</f>
        <v>LQB-L</v>
      </c>
      <c r="G46" s="5" t="n">
        <f aca="false">Двигатели!B$4</f>
        <v>10</v>
      </c>
      <c r="H46" s="5" t="n">
        <f aca="false">Двигатели!C$4</f>
        <v>20</v>
      </c>
      <c r="I46" s="1" t="str">
        <f aca="false">Орудия!A$6</f>
        <v>H-BT-10</v>
      </c>
      <c r="J46" s="1" t="str">
        <f aca="false">Орудия!B$6</f>
        <v>тяж. Болт</v>
      </c>
      <c r="K46" s="1" t="n">
        <f aca="false">Орудия!C$6</f>
        <v>10</v>
      </c>
      <c r="L46" s="1" t="n">
        <f aca="false">Орудия!D$6</f>
        <v>5</v>
      </c>
      <c r="M46" s="5" t="str">
        <f aca="false">Орудия!E$6</f>
        <v>18/32'</v>
      </c>
      <c r="N46" s="5" t="str">
        <f aca="false">Орудия!F$6</f>
        <v>-</v>
      </c>
      <c r="O46" s="5" t="n">
        <f aca="false">B46-G46-K46</f>
        <v>0</v>
      </c>
      <c r="P46" s="5" t="n">
        <f aca="false">H46-D46-L46</f>
        <v>7</v>
      </c>
    </row>
    <row r="47" customFormat="false" ht="12.8" hidden="false" customHeight="false" outlineLevel="0" collapsed="false">
      <c r="A47" s="5" t="str">
        <f aca="false">Генераторы!A$2</f>
        <v>SG-2KT</v>
      </c>
      <c r="B47" s="5" t="n">
        <f aca="false">Генераторы!B$2</f>
        <v>10</v>
      </c>
      <c r="C47" s="5" t="str">
        <f aca="false">Генераторы!C$2</f>
        <v>3+</v>
      </c>
      <c r="D47" s="5" t="n">
        <f aca="false">Генераторы!D$2</f>
        <v>2</v>
      </c>
      <c r="E47" s="5" t="str">
        <f aca="false">Генераторы!E$2</f>
        <v>-</v>
      </c>
      <c r="F47" s="5" t="str">
        <f aca="false">Двигатели!A$2</f>
        <v>LQB-S</v>
      </c>
      <c r="G47" s="5" t="n">
        <f aca="false">Двигатели!B$2</f>
        <v>3</v>
      </c>
      <c r="H47" s="5" t="n">
        <f aca="false">Двигатели!C$2</f>
        <v>16</v>
      </c>
      <c r="I47" s="1" t="str">
        <f aca="false">Орудия!A$7</f>
        <v>L-MC-2</v>
      </c>
      <c r="J47" s="1" t="str">
        <f aca="false">Орудия!B$7</f>
        <v>Лёгкая ракета</v>
      </c>
      <c r="K47" s="1" t="n">
        <f aca="false">Орудия!C$7</f>
        <v>2</v>
      </c>
      <c r="L47" s="1" t="n">
        <f aca="false">Орудия!D$7</f>
        <v>3</v>
      </c>
      <c r="M47" s="5" t="str">
        <f aca="false">Орудия!E$7</f>
        <v>8/18'</v>
      </c>
      <c r="N47" s="5" t="str">
        <f aca="false">Орудия!F$7</f>
        <v>-</v>
      </c>
      <c r="O47" s="5" t="n">
        <f aca="false">B47-G47-K47</f>
        <v>5</v>
      </c>
      <c r="P47" s="5" t="n">
        <f aca="false">H47-D47-L47</f>
        <v>11</v>
      </c>
    </row>
    <row r="48" customFormat="false" ht="12.8" hidden="false" customHeight="false" outlineLevel="0" collapsed="false">
      <c r="A48" s="5" t="str">
        <f aca="false">Генераторы!A$3</f>
        <v>SG-3KT</v>
      </c>
      <c r="B48" s="5" t="n">
        <f aca="false">Генераторы!B$3</f>
        <v>15</v>
      </c>
      <c r="C48" s="5" t="str">
        <f aca="false">Генераторы!C$3</f>
        <v>3+</v>
      </c>
      <c r="D48" s="5" t="n">
        <f aca="false">Генераторы!D$3</f>
        <v>3</v>
      </c>
      <c r="E48" s="5" t="str">
        <f aca="false">Генераторы!E$3</f>
        <v>-</v>
      </c>
      <c r="F48" s="5" t="str">
        <f aca="false">Двигатели!A$2</f>
        <v>LQB-S</v>
      </c>
      <c r="G48" s="5" t="n">
        <f aca="false">Двигатели!B$2</f>
        <v>3</v>
      </c>
      <c r="H48" s="5" t="n">
        <f aca="false">Двигатели!C$2</f>
        <v>16</v>
      </c>
      <c r="I48" s="1" t="str">
        <f aca="false">Орудия!A$7</f>
        <v>L-MC-2</v>
      </c>
      <c r="J48" s="1" t="str">
        <f aca="false">Орудия!B$7</f>
        <v>Лёгкая ракета</v>
      </c>
      <c r="K48" s="1" t="n">
        <f aca="false">Орудия!C$7</f>
        <v>2</v>
      </c>
      <c r="L48" s="1" t="n">
        <f aca="false">Орудия!D$7</f>
        <v>3</v>
      </c>
      <c r="M48" s="5" t="str">
        <f aca="false">Орудия!E$7</f>
        <v>8/18'</v>
      </c>
      <c r="N48" s="5" t="str">
        <f aca="false">Орудия!F$7</f>
        <v>-</v>
      </c>
      <c r="O48" s="5" t="n">
        <f aca="false">B48-G48-K48</f>
        <v>10</v>
      </c>
      <c r="P48" s="5" t="n">
        <f aca="false">H48-D48-L48</f>
        <v>10</v>
      </c>
    </row>
    <row r="49" customFormat="false" ht="12.8" hidden="false" customHeight="false" outlineLevel="0" collapsed="false">
      <c r="A49" s="5" t="str">
        <f aca="false">Генераторы!A$4</f>
        <v>SG-8KT</v>
      </c>
      <c r="B49" s="5" t="n">
        <f aca="false">Генераторы!B$4</f>
        <v>20</v>
      </c>
      <c r="C49" s="5" t="str">
        <f aca="false">Генераторы!C$4</f>
        <v>4+</v>
      </c>
      <c r="D49" s="5" t="n">
        <f aca="false">Генераторы!D$4</f>
        <v>8</v>
      </c>
      <c r="E49" s="5" t="str">
        <f aca="false">Генераторы!E$4</f>
        <v>-</v>
      </c>
      <c r="F49" s="5" t="str">
        <f aca="false">Двигатели!A$2</f>
        <v>LQB-S</v>
      </c>
      <c r="G49" s="5" t="n">
        <f aca="false">Двигатели!B$2</f>
        <v>3</v>
      </c>
      <c r="H49" s="5" t="n">
        <f aca="false">Двигатели!C$2</f>
        <v>16</v>
      </c>
      <c r="I49" s="1" t="str">
        <f aca="false">Орудия!A$7</f>
        <v>L-MC-2</v>
      </c>
      <c r="J49" s="1" t="str">
        <f aca="false">Орудия!B$7</f>
        <v>Лёгкая ракета</v>
      </c>
      <c r="K49" s="1" t="n">
        <f aca="false">Орудия!C$7</f>
        <v>2</v>
      </c>
      <c r="L49" s="1" t="n">
        <f aca="false">Орудия!D$7</f>
        <v>3</v>
      </c>
      <c r="M49" s="5" t="str">
        <f aca="false">Орудия!E$7</f>
        <v>8/18'</v>
      </c>
      <c r="N49" s="5" t="str">
        <f aca="false">Орудия!F$7</f>
        <v>-</v>
      </c>
      <c r="O49" s="5" t="n">
        <f aca="false">B49-G49-K49</f>
        <v>15</v>
      </c>
      <c r="P49" s="5" t="n">
        <f aca="false">H49-D49-L49</f>
        <v>5</v>
      </c>
    </row>
    <row r="50" customFormat="false" ht="12.8" hidden="false" customHeight="false" outlineLevel="0" collapsed="false">
      <c r="A50" s="5" t="str">
        <f aca="false">Генераторы!A$2</f>
        <v>SG-2KT</v>
      </c>
      <c r="B50" s="5" t="n">
        <f aca="false">Генераторы!B$2</f>
        <v>10</v>
      </c>
      <c r="C50" s="5" t="str">
        <f aca="false">Генераторы!C$2</f>
        <v>3+</v>
      </c>
      <c r="D50" s="5" t="n">
        <f aca="false">Генераторы!D$2</f>
        <v>2</v>
      </c>
      <c r="E50" s="5" t="str">
        <f aca="false">Генераторы!E$2</f>
        <v>-</v>
      </c>
      <c r="F50" s="5" t="str">
        <f aca="false">Двигатели!A$3</f>
        <v>LQB-M</v>
      </c>
      <c r="G50" s="5" t="n">
        <f aca="false">Двигатели!B$3</f>
        <v>6</v>
      </c>
      <c r="H50" s="5" t="n">
        <f aca="false">Двигатели!C$3</f>
        <v>18</v>
      </c>
      <c r="I50" s="1" t="str">
        <f aca="false">Орудия!A$7</f>
        <v>L-MC-2</v>
      </c>
      <c r="J50" s="1" t="str">
        <f aca="false">Орудия!B$7</f>
        <v>Лёгкая ракета</v>
      </c>
      <c r="K50" s="1" t="n">
        <f aca="false">Орудия!C$7</f>
        <v>2</v>
      </c>
      <c r="L50" s="1" t="n">
        <f aca="false">Орудия!D$7</f>
        <v>3</v>
      </c>
      <c r="M50" s="5" t="str">
        <f aca="false">Орудия!E$7</f>
        <v>8/18'</v>
      </c>
      <c r="N50" s="5" t="str">
        <f aca="false">Орудия!F$7</f>
        <v>-</v>
      </c>
      <c r="O50" s="5" t="n">
        <f aca="false">B50-G50-K50</f>
        <v>2</v>
      </c>
      <c r="P50" s="5" t="n">
        <f aca="false">H50-D50-L50</f>
        <v>13</v>
      </c>
    </row>
    <row r="51" customFormat="false" ht="12.8" hidden="false" customHeight="false" outlineLevel="0" collapsed="false">
      <c r="A51" s="5" t="str">
        <f aca="false">Генераторы!A$3</f>
        <v>SG-3KT</v>
      </c>
      <c r="B51" s="5" t="n">
        <f aca="false">Генераторы!B$3</f>
        <v>15</v>
      </c>
      <c r="C51" s="5" t="str">
        <f aca="false">Генераторы!C$3</f>
        <v>3+</v>
      </c>
      <c r="D51" s="5" t="n">
        <f aca="false">Генераторы!D$3</f>
        <v>3</v>
      </c>
      <c r="E51" s="5" t="str">
        <f aca="false">Генераторы!E$3</f>
        <v>-</v>
      </c>
      <c r="F51" s="5" t="str">
        <f aca="false">Двигатели!A$3</f>
        <v>LQB-M</v>
      </c>
      <c r="G51" s="5" t="n">
        <f aca="false">Двигатели!B$3</f>
        <v>6</v>
      </c>
      <c r="H51" s="5" t="n">
        <f aca="false">Двигатели!C$3</f>
        <v>18</v>
      </c>
      <c r="I51" s="1" t="str">
        <f aca="false">Орудия!A$7</f>
        <v>L-MC-2</v>
      </c>
      <c r="J51" s="1" t="str">
        <f aca="false">Орудия!B$7</f>
        <v>Лёгкая ракета</v>
      </c>
      <c r="K51" s="1" t="n">
        <f aca="false">Орудия!C$7</f>
        <v>2</v>
      </c>
      <c r="L51" s="1" t="n">
        <f aca="false">Орудия!D$7</f>
        <v>3</v>
      </c>
      <c r="M51" s="5" t="str">
        <f aca="false">Орудия!E$7</f>
        <v>8/18'</v>
      </c>
      <c r="N51" s="5" t="str">
        <f aca="false">Орудия!F$7</f>
        <v>-</v>
      </c>
      <c r="O51" s="5" t="n">
        <f aca="false">B51-G51-K51</f>
        <v>7</v>
      </c>
      <c r="P51" s="5" t="n">
        <f aca="false">H51-D51-L51</f>
        <v>12</v>
      </c>
    </row>
    <row r="52" customFormat="false" ht="12.8" hidden="false" customHeight="false" outlineLevel="0" collapsed="false">
      <c r="A52" s="5" t="str">
        <f aca="false">Генераторы!A$4</f>
        <v>SG-8KT</v>
      </c>
      <c r="B52" s="5" t="n">
        <f aca="false">Генераторы!B$4</f>
        <v>20</v>
      </c>
      <c r="C52" s="5" t="str">
        <f aca="false">Генераторы!C$4</f>
        <v>4+</v>
      </c>
      <c r="D52" s="5" t="n">
        <f aca="false">Генераторы!D$4</f>
        <v>8</v>
      </c>
      <c r="E52" s="5" t="str">
        <f aca="false">Генераторы!E$4</f>
        <v>-</v>
      </c>
      <c r="F52" s="5" t="str">
        <f aca="false">Двигатели!A$3</f>
        <v>LQB-M</v>
      </c>
      <c r="G52" s="5" t="n">
        <f aca="false">Двигатели!B$3</f>
        <v>6</v>
      </c>
      <c r="H52" s="5" t="n">
        <f aca="false">Двигатели!C$3</f>
        <v>18</v>
      </c>
      <c r="I52" s="1" t="str">
        <f aca="false">Орудия!A$7</f>
        <v>L-MC-2</v>
      </c>
      <c r="J52" s="1" t="str">
        <f aca="false">Орудия!B$7</f>
        <v>Лёгкая ракета</v>
      </c>
      <c r="K52" s="1" t="n">
        <f aca="false">Орудия!C$7</f>
        <v>2</v>
      </c>
      <c r="L52" s="1" t="n">
        <f aca="false">Орудия!D$7</f>
        <v>3</v>
      </c>
      <c r="M52" s="5" t="str">
        <f aca="false">Орудия!E$7</f>
        <v>8/18'</v>
      </c>
      <c r="N52" s="5" t="str">
        <f aca="false">Орудия!F$7</f>
        <v>-</v>
      </c>
      <c r="O52" s="5" t="n">
        <f aca="false">B52-G52-K52</f>
        <v>12</v>
      </c>
      <c r="P52" s="5" t="n">
        <f aca="false">H52-D52-L52</f>
        <v>7</v>
      </c>
    </row>
    <row r="53" customFormat="false" ht="12.8" hidden="false" customHeight="false" outlineLevel="0" collapsed="false">
      <c r="A53" s="5" t="str">
        <f aca="false">Генераторы!A$2</f>
        <v>SG-2KT</v>
      </c>
      <c r="B53" s="5" t="n">
        <f aca="false">Генераторы!B$2</f>
        <v>10</v>
      </c>
      <c r="C53" s="5" t="str">
        <f aca="false">Генераторы!C$2</f>
        <v>3+</v>
      </c>
      <c r="D53" s="5" t="n">
        <f aca="false">Генераторы!D$2</f>
        <v>2</v>
      </c>
      <c r="E53" s="5" t="str">
        <f aca="false">Генераторы!E$2</f>
        <v>-</v>
      </c>
      <c r="F53" s="5" t="str">
        <f aca="false">Двигатели!A$4</f>
        <v>LQB-L</v>
      </c>
      <c r="G53" s="5" t="n">
        <f aca="false">Двигатели!B$4</f>
        <v>10</v>
      </c>
      <c r="H53" s="5" t="n">
        <f aca="false">Двигатели!C$4</f>
        <v>20</v>
      </c>
      <c r="I53" s="1" t="str">
        <f aca="false">Орудия!A$7</f>
        <v>L-MC-2</v>
      </c>
      <c r="J53" s="1" t="str">
        <f aca="false">Орудия!B$7</f>
        <v>Лёгкая ракета</v>
      </c>
      <c r="K53" s="1" t="n">
        <f aca="false">Орудия!C$7</f>
        <v>2</v>
      </c>
      <c r="L53" s="1" t="n">
        <f aca="false">Орудия!D$7</f>
        <v>3</v>
      </c>
      <c r="M53" s="5" t="str">
        <f aca="false">Орудия!E$7</f>
        <v>8/18'</v>
      </c>
      <c r="N53" s="5" t="str">
        <f aca="false">Орудия!F$7</f>
        <v>-</v>
      </c>
      <c r="O53" s="5" t="n">
        <f aca="false">B53-G53-K53</f>
        <v>-2</v>
      </c>
      <c r="P53" s="5" t="n">
        <f aca="false">H53-D53-L53</f>
        <v>15</v>
      </c>
    </row>
    <row r="54" customFormat="false" ht="12.8" hidden="false" customHeight="false" outlineLevel="0" collapsed="false">
      <c r="A54" s="5" t="str">
        <f aca="false">Генераторы!A$3</f>
        <v>SG-3KT</v>
      </c>
      <c r="B54" s="5" t="n">
        <f aca="false">Генераторы!B$3</f>
        <v>15</v>
      </c>
      <c r="C54" s="5" t="str">
        <f aca="false">Генераторы!C$3</f>
        <v>3+</v>
      </c>
      <c r="D54" s="5" t="n">
        <f aca="false">Генераторы!D$3</f>
        <v>3</v>
      </c>
      <c r="E54" s="5" t="str">
        <f aca="false">Генераторы!E$3</f>
        <v>-</v>
      </c>
      <c r="F54" s="5" t="str">
        <f aca="false">Двигатели!A$4</f>
        <v>LQB-L</v>
      </c>
      <c r="G54" s="5" t="n">
        <f aca="false">Двигатели!B$4</f>
        <v>10</v>
      </c>
      <c r="H54" s="5" t="n">
        <f aca="false">Двигатели!C$4</f>
        <v>20</v>
      </c>
      <c r="I54" s="1" t="str">
        <f aca="false">Орудия!A$7</f>
        <v>L-MC-2</v>
      </c>
      <c r="J54" s="1" t="str">
        <f aca="false">Орудия!B$7</f>
        <v>Лёгкая ракета</v>
      </c>
      <c r="K54" s="1" t="n">
        <f aca="false">Орудия!C$7</f>
        <v>2</v>
      </c>
      <c r="L54" s="1" t="n">
        <f aca="false">Орудия!D$7</f>
        <v>3</v>
      </c>
      <c r="M54" s="5" t="str">
        <f aca="false">Орудия!E$7</f>
        <v>8/18'</v>
      </c>
      <c r="N54" s="5" t="str">
        <f aca="false">Орудия!F$7</f>
        <v>-</v>
      </c>
      <c r="O54" s="5" t="n">
        <f aca="false">B54-G54-K54</f>
        <v>3</v>
      </c>
      <c r="P54" s="5" t="n">
        <f aca="false">H54-D54-L54</f>
        <v>14</v>
      </c>
    </row>
    <row r="55" customFormat="false" ht="12.8" hidden="false" customHeight="false" outlineLevel="0" collapsed="false">
      <c r="A55" s="5" t="str">
        <f aca="false">Генераторы!A$4</f>
        <v>SG-8KT</v>
      </c>
      <c r="B55" s="5" t="n">
        <f aca="false">Генераторы!B$4</f>
        <v>20</v>
      </c>
      <c r="C55" s="5" t="str">
        <f aca="false">Генераторы!C$4</f>
        <v>4+</v>
      </c>
      <c r="D55" s="5" t="n">
        <f aca="false">Генераторы!D$4</f>
        <v>8</v>
      </c>
      <c r="E55" s="5" t="str">
        <f aca="false">Генераторы!E$4</f>
        <v>-</v>
      </c>
      <c r="F55" s="5" t="str">
        <f aca="false">Двигатели!A$4</f>
        <v>LQB-L</v>
      </c>
      <c r="G55" s="5" t="n">
        <f aca="false">Двигатели!B$4</f>
        <v>10</v>
      </c>
      <c r="H55" s="5" t="n">
        <f aca="false">Двигатели!C$4</f>
        <v>20</v>
      </c>
      <c r="I55" s="1" t="str">
        <f aca="false">Орудия!A$7</f>
        <v>L-MC-2</v>
      </c>
      <c r="J55" s="1" t="str">
        <f aca="false">Орудия!B$7</f>
        <v>Лёгкая ракета</v>
      </c>
      <c r="K55" s="1" t="n">
        <f aca="false">Орудия!C$7</f>
        <v>2</v>
      </c>
      <c r="L55" s="1" t="n">
        <f aca="false">Орудия!D$7</f>
        <v>3</v>
      </c>
      <c r="M55" s="5" t="str">
        <f aca="false">Орудия!E$7</f>
        <v>8/18'</v>
      </c>
      <c r="N55" s="5" t="str">
        <f aca="false">Орудия!F$7</f>
        <v>-</v>
      </c>
      <c r="O55" s="5" t="n">
        <f aca="false">B55-G55-K55</f>
        <v>8</v>
      </c>
      <c r="P55" s="5" t="n">
        <f aca="false">H55-D55-L55</f>
        <v>9</v>
      </c>
    </row>
    <row r="56" customFormat="false" ht="12.8" hidden="false" customHeight="false" outlineLevel="0" collapsed="false">
      <c r="A56" s="5" t="str">
        <f aca="false">Генераторы!A$2</f>
        <v>SG-2KT</v>
      </c>
      <c r="B56" s="5" t="n">
        <f aca="false">Генераторы!B$2</f>
        <v>10</v>
      </c>
      <c r="C56" s="5" t="str">
        <f aca="false">Генераторы!C$2</f>
        <v>3+</v>
      </c>
      <c r="D56" s="5" t="n">
        <f aca="false">Генераторы!D$2</f>
        <v>2</v>
      </c>
      <c r="E56" s="5" t="str">
        <f aca="false">Генераторы!E$2</f>
        <v>-</v>
      </c>
      <c r="F56" s="5" t="str">
        <f aca="false">Двигатели!A$2</f>
        <v>LQB-S</v>
      </c>
      <c r="G56" s="5" t="n">
        <f aca="false">Двигатели!B$2</f>
        <v>3</v>
      </c>
      <c r="H56" s="5" t="n">
        <f aca="false">Двигатели!C$2</f>
        <v>16</v>
      </c>
      <c r="I56" s="1" t="str">
        <f aca="false">Орудия!A$8</f>
        <v>FTL-BT-14</v>
      </c>
      <c r="J56" s="1" t="str">
        <f aca="false">Орудия!B$8</f>
        <v>FTL-болт</v>
      </c>
      <c r="K56" s="1" t="n">
        <f aca="false">Орудия!C$8</f>
        <v>14</v>
      </c>
      <c r="L56" s="1" t="n">
        <f aca="false">Орудия!D$8</f>
        <v>8</v>
      </c>
      <c r="M56" s="5" t="str">
        <f aca="false">Орудия!E$8</f>
        <v>-/40'</v>
      </c>
      <c r="N56" s="5" t="str">
        <f aca="false">Орудия!F$8</f>
        <v>-</v>
      </c>
      <c r="O56" s="5" t="n">
        <f aca="false">B56-G56-K56</f>
        <v>-7</v>
      </c>
      <c r="P56" s="5" t="n">
        <f aca="false">H56-D56-L56</f>
        <v>6</v>
      </c>
    </row>
    <row r="57" customFormat="false" ht="12.8" hidden="false" customHeight="false" outlineLevel="0" collapsed="false">
      <c r="A57" s="5" t="str">
        <f aca="false">Генераторы!A$3</f>
        <v>SG-3KT</v>
      </c>
      <c r="B57" s="5" t="n">
        <f aca="false">Генераторы!B$3</f>
        <v>15</v>
      </c>
      <c r="C57" s="5" t="str">
        <f aca="false">Генераторы!C$3</f>
        <v>3+</v>
      </c>
      <c r="D57" s="5" t="n">
        <f aca="false">Генераторы!D$3</f>
        <v>3</v>
      </c>
      <c r="E57" s="5" t="str">
        <f aca="false">Генераторы!E$3</f>
        <v>-</v>
      </c>
      <c r="F57" s="5" t="str">
        <f aca="false">Двигатели!A$2</f>
        <v>LQB-S</v>
      </c>
      <c r="G57" s="5" t="n">
        <f aca="false">Двигатели!B$2</f>
        <v>3</v>
      </c>
      <c r="H57" s="5" t="n">
        <f aca="false">Двигатели!C$2</f>
        <v>16</v>
      </c>
      <c r="I57" s="1" t="str">
        <f aca="false">Орудия!A$8</f>
        <v>FTL-BT-14</v>
      </c>
      <c r="J57" s="1" t="str">
        <f aca="false">Орудия!B$8</f>
        <v>FTL-болт</v>
      </c>
      <c r="K57" s="1" t="n">
        <f aca="false">Орудия!C$8</f>
        <v>14</v>
      </c>
      <c r="L57" s="1" t="n">
        <f aca="false">Орудия!D$8</f>
        <v>8</v>
      </c>
      <c r="M57" s="5" t="str">
        <f aca="false">Орудия!E$8</f>
        <v>-/40'</v>
      </c>
      <c r="N57" s="5" t="str">
        <f aca="false">Орудия!F$8</f>
        <v>-</v>
      </c>
      <c r="O57" s="5" t="n">
        <f aca="false">B57-G57-K57</f>
        <v>-2</v>
      </c>
      <c r="P57" s="5" t="n">
        <f aca="false">H57-D57-L57</f>
        <v>5</v>
      </c>
    </row>
    <row r="58" customFormat="false" ht="12.8" hidden="false" customHeight="false" outlineLevel="0" collapsed="false">
      <c r="A58" s="5" t="str">
        <f aca="false">Генераторы!A$4</f>
        <v>SG-8KT</v>
      </c>
      <c r="B58" s="5" t="n">
        <f aca="false">Генераторы!B$4</f>
        <v>20</v>
      </c>
      <c r="C58" s="5" t="str">
        <f aca="false">Генераторы!C$4</f>
        <v>4+</v>
      </c>
      <c r="D58" s="5" t="n">
        <f aca="false">Генераторы!D$4</f>
        <v>8</v>
      </c>
      <c r="E58" s="5" t="str">
        <f aca="false">Генераторы!E$4</f>
        <v>-</v>
      </c>
      <c r="F58" s="5" t="str">
        <f aca="false">Двигатели!A$2</f>
        <v>LQB-S</v>
      </c>
      <c r="G58" s="5" t="n">
        <f aca="false">Двигатели!B$2</f>
        <v>3</v>
      </c>
      <c r="H58" s="5" t="n">
        <f aca="false">Двигатели!C$2</f>
        <v>16</v>
      </c>
      <c r="I58" s="1" t="str">
        <f aca="false">Орудия!A$8</f>
        <v>FTL-BT-14</v>
      </c>
      <c r="J58" s="1" t="str">
        <f aca="false">Орудия!B$8</f>
        <v>FTL-болт</v>
      </c>
      <c r="K58" s="1" t="n">
        <f aca="false">Орудия!C$8</f>
        <v>14</v>
      </c>
      <c r="L58" s="1" t="n">
        <f aca="false">Орудия!D$8</f>
        <v>8</v>
      </c>
      <c r="M58" s="5" t="str">
        <f aca="false">Орудия!E$8</f>
        <v>-/40'</v>
      </c>
      <c r="N58" s="5" t="str">
        <f aca="false">Орудия!F$8</f>
        <v>-</v>
      </c>
      <c r="O58" s="5" t="n">
        <f aca="false">B58-G58-K58</f>
        <v>3</v>
      </c>
      <c r="P58" s="5" t="n">
        <f aca="false">H58-D58-L58</f>
        <v>0</v>
      </c>
    </row>
    <row r="59" customFormat="false" ht="12.8" hidden="false" customHeight="false" outlineLevel="0" collapsed="false">
      <c r="A59" s="5" t="str">
        <f aca="false">Генераторы!A$2</f>
        <v>SG-2KT</v>
      </c>
      <c r="B59" s="5" t="n">
        <f aca="false">Генераторы!B$2</f>
        <v>10</v>
      </c>
      <c r="C59" s="5" t="str">
        <f aca="false">Генераторы!C$2</f>
        <v>3+</v>
      </c>
      <c r="D59" s="5" t="n">
        <f aca="false">Генераторы!D$2</f>
        <v>2</v>
      </c>
      <c r="E59" s="5" t="str">
        <f aca="false">Генераторы!E$2</f>
        <v>-</v>
      </c>
      <c r="F59" s="5" t="str">
        <f aca="false">Двигатели!A$3</f>
        <v>LQB-M</v>
      </c>
      <c r="G59" s="5" t="n">
        <f aca="false">Двигатели!B$3</f>
        <v>6</v>
      </c>
      <c r="H59" s="5" t="n">
        <f aca="false">Двигатели!C$3</f>
        <v>18</v>
      </c>
      <c r="I59" s="1" t="str">
        <f aca="false">Орудия!A$8</f>
        <v>FTL-BT-14</v>
      </c>
      <c r="J59" s="1" t="str">
        <f aca="false">Орудия!B$8</f>
        <v>FTL-болт</v>
      </c>
      <c r="K59" s="1" t="n">
        <f aca="false">Орудия!C$8</f>
        <v>14</v>
      </c>
      <c r="L59" s="1" t="n">
        <f aca="false">Орудия!D$8</f>
        <v>8</v>
      </c>
      <c r="M59" s="5" t="str">
        <f aca="false">Орудия!E$8</f>
        <v>-/40'</v>
      </c>
      <c r="N59" s="5" t="str">
        <f aca="false">Орудия!F$8</f>
        <v>-</v>
      </c>
      <c r="O59" s="5" t="n">
        <f aca="false">B59-G59-K59</f>
        <v>-10</v>
      </c>
      <c r="P59" s="5" t="n">
        <f aca="false">H59-D59-L59</f>
        <v>8</v>
      </c>
    </row>
    <row r="60" customFormat="false" ht="12.8" hidden="false" customHeight="false" outlineLevel="0" collapsed="false">
      <c r="A60" s="5" t="str">
        <f aca="false">Генераторы!A$3</f>
        <v>SG-3KT</v>
      </c>
      <c r="B60" s="5" t="n">
        <f aca="false">Генераторы!B$3</f>
        <v>15</v>
      </c>
      <c r="C60" s="5" t="str">
        <f aca="false">Генераторы!C$3</f>
        <v>3+</v>
      </c>
      <c r="D60" s="5" t="n">
        <f aca="false">Генераторы!D$3</f>
        <v>3</v>
      </c>
      <c r="E60" s="5" t="str">
        <f aca="false">Генераторы!E$3</f>
        <v>-</v>
      </c>
      <c r="F60" s="5" t="str">
        <f aca="false">Двигатели!A$3</f>
        <v>LQB-M</v>
      </c>
      <c r="G60" s="5" t="n">
        <f aca="false">Двигатели!B$3</f>
        <v>6</v>
      </c>
      <c r="H60" s="5" t="n">
        <f aca="false">Двигатели!C$3</f>
        <v>18</v>
      </c>
      <c r="I60" s="1" t="str">
        <f aca="false">Орудия!A$8</f>
        <v>FTL-BT-14</v>
      </c>
      <c r="J60" s="1" t="str">
        <f aca="false">Орудия!B$8</f>
        <v>FTL-болт</v>
      </c>
      <c r="K60" s="1" t="n">
        <f aca="false">Орудия!C$8</f>
        <v>14</v>
      </c>
      <c r="L60" s="1" t="n">
        <f aca="false">Орудия!D$8</f>
        <v>8</v>
      </c>
      <c r="M60" s="5" t="str">
        <f aca="false">Орудия!E$8</f>
        <v>-/40'</v>
      </c>
      <c r="N60" s="5" t="str">
        <f aca="false">Орудия!F$8</f>
        <v>-</v>
      </c>
      <c r="O60" s="5" t="n">
        <f aca="false">B60-G60-K60</f>
        <v>-5</v>
      </c>
      <c r="P60" s="5" t="n">
        <f aca="false">H60-D60-L60</f>
        <v>7</v>
      </c>
    </row>
    <row r="61" customFormat="false" ht="12.8" hidden="false" customHeight="false" outlineLevel="0" collapsed="false">
      <c r="A61" s="5" t="str">
        <f aca="false">Генераторы!A$4</f>
        <v>SG-8KT</v>
      </c>
      <c r="B61" s="5" t="n">
        <f aca="false">Генераторы!B$4</f>
        <v>20</v>
      </c>
      <c r="C61" s="5" t="str">
        <f aca="false">Генераторы!C$4</f>
        <v>4+</v>
      </c>
      <c r="D61" s="5" t="n">
        <f aca="false">Генераторы!D$4</f>
        <v>8</v>
      </c>
      <c r="E61" s="5" t="str">
        <f aca="false">Генераторы!E$4</f>
        <v>-</v>
      </c>
      <c r="F61" s="5" t="str">
        <f aca="false">Двигатели!A$3</f>
        <v>LQB-M</v>
      </c>
      <c r="G61" s="5" t="n">
        <f aca="false">Двигатели!B$3</f>
        <v>6</v>
      </c>
      <c r="H61" s="5" t="n">
        <f aca="false">Двигатели!C$3</f>
        <v>18</v>
      </c>
      <c r="I61" s="1" t="str">
        <f aca="false">Орудия!A$8</f>
        <v>FTL-BT-14</v>
      </c>
      <c r="J61" s="1" t="str">
        <f aca="false">Орудия!B$8</f>
        <v>FTL-болт</v>
      </c>
      <c r="K61" s="1" t="n">
        <f aca="false">Орудия!C$8</f>
        <v>14</v>
      </c>
      <c r="L61" s="1" t="n">
        <f aca="false">Орудия!D$8</f>
        <v>8</v>
      </c>
      <c r="M61" s="5" t="str">
        <f aca="false">Орудия!E$8</f>
        <v>-/40'</v>
      </c>
      <c r="N61" s="5" t="str">
        <f aca="false">Орудия!F$8</f>
        <v>-</v>
      </c>
      <c r="O61" s="5" t="n">
        <f aca="false">B61-G61-K61</f>
        <v>0</v>
      </c>
      <c r="P61" s="5" t="n">
        <f aca="false">H61-D61-L61</f>
        <v>2</v>
      </c>
    </row>
    <row r="62" customFormat="false" ht="12.8" hidden="false" customHeight="false" outlineLevel="0" collapsed="false">
      <c r="A62" s="5" t="str">
        <f aca="false">Генераторы!A$2</f>
        <v>SG-2KT</v>
      </c>
      <c r="B62" s="5" t="n">
        <f aca="false">Генераторы!B$2</f>
        <v>10</v>
      </c>
      <c r="C62" s="5" t="str">
        <f aca="false">Генераторы!C$2</f>
        <v>3+</v>
      </c>
      <c r="D62" s="5" t="n">
        <f aca="false">Генераторы!D$2</f>
        <v>2</v>
      </c>
      <c r="E62" s="5" t="str">
        <f aca="false">Генераторы!E$2</f>
        <v>-</v>
      </c>
      <c r="F62" s="5" t="str">
        <f aca="false">Двигатели!A$4</f>
        <v>LQB-L</v>
      </c>
      <c r="G62" s="5" t="n">
        <f aca="false">Двигатели!B$4</f>
        <v>10</v>
      </c>
      <c r="H62" s="5" t="n">
        <f aca="false">Двигатели!C$4</f>
        <v>20</v>
      </c>
      <c r="I62" s="1" t="str">
        <f aca="false">Орудия!A$8</f>
        <v>FTL-BT-14</v>
      </c>
      <c r="J62" s="1" t="str">
        <f aca="false">Орудия!B$8</f>
        <v>FTL-болт</v>
      </c>
      <c r="K62" s="1" t="n">
        <f aca="false">Орудия!C$8</f>
        <v>14</v>
      </c>
      <c r="L62" s="1" t="n">
        <f aca="false">Орудия!D$8</f>
        <v>8</v>
      </c>
      <c r="M62" s="5" t="str">
        <f aca="false">Орудия!E$8</f>
        <v>-/40'</v>
      </c>
      <c r="N62" s="5" t="str">
        <f aca="false">Орудия!F$8</f>
        <v>-</v>
      </c>
      <c r="O62" s="5" t="n">
        <f aca="false">B62-G62-K62</f>
        <v>-14</v>
      </c>
      <c r="P62" s="5" t="n">
        <f aca="false">H62-D62-L62</f>
        <v>10</v>
      </c>
    </row>
    <row r="63" customFormat="false" ht="12.8" hidden="false" customHeight="false" outlineLevel="0" collapsed="false">
      <c r="A63" s="5" t="str">
        <f aca="false">Генераторы!A$3</f>
        <v>SG-3KT</v>
      </c>
      <c r="B63" s="5" t="n">
        <f aca="false">Генераторы!B$3</f>
        <v>15</v>
      </c>
      <c r="C63" s="5" t="str">
        <f aca="false">Генераторы!C$3</f>
        <v>3+</v>
      </c>
      <c r="D63" s="5" t="n">
        <f aca="false">Генераторы!D$3</f>
        <v>3</v>
      </c>
      <c r="E63" s="5" t="str">
        <f aca="false">Генераторы!E$3</f>
        <v>-</v>
      </c>
      <c r="F63" s="5" t="str">
        <f aca="false">Двигатели!A$4</f>
        <v>LQB-L</v>
      </c>
      <c r="G63" s="5" t="n">
        <f aca="false">Двигатели!B$4</f>
        <v>10</v>
      </c>
      <c r="H63" s="5" t="n">
        <f aca="false">Двигатели!C$4</f>
        <v>20</v>
      </c>
      <c r="I63" s="1" t="str">
        <f aca="false">Орудия!A$8</f>
        <v>FTL-BT-14</v>
      </c>
      <c r="J63" s="1" t="str">
        <f aca="false">Орудия!B$8</f>
        <v>FTL-болт</v>
      </c>
      <c r="K63" s="1" t="n">
        <f aca="false">Орудия!C$8</f>
        <v>14</v>
      </c>
      <c r="L63" s="1" t="n">
        <f aca="false">Орудия!D$8</f>
        <v>8</v>
      </c>
      <c r="M63" s="5" t="str">
        <f aca="false">Орудия!E$8</f>
        <v>-/40'</v>
      </c>
      <c r="N63" s="5" t="str">
        <f aca="false">Орудия!F$8</f>
        <v>-</v>
      </c>
      <c r="O63" s="5" t="n">
        <f aca="false">B63-G63-K63</f>
        <v>-9</v>
      </c>
      <c r="P63" s="5" t="n">
        <f aca="false">H63-D63-L63</f>
        <v>9</v>
      </c>
    </row>
    <row r="64" customFormat="false" ht="12.8" hidden="false" customHeight="false" outlineLevel="0" collapsed="false">
      <c r="A64" s="5" t="str">
        <f aca="false">Генераторы!A$4</f>
        <v>SG-8KT</v>
      </c>
      <c r="B64" s="5" t="n">
        <f aca="false">Генераторы!B$4</f>
        <v>20</v>
      </c>
      <c r="C64" s="5" t="str">
        <f aca="false">Генераторы!C$4</f>
        <v>4+</v>
      </c>
      <c r="D64" s="5" t="n">
        <f aca="false">Генераторы!D$4</f>
        <v>8</v>
      </c>
      <c r="E64" s="5" t="str">
        <f aca="false">Генераторы!E$4</f>
        <v>-</v>
      </c>
      <c r="F64" s="5" t="str">
        <f aca="false">Двигатели!A$4</f>
        <v>LQB-L</v>
      </c>
      <c r="G64" s="5" t="n">
        <f aca="false">Двигатели!B$4</f>
        <v>10</v>
      </c>
      <c r="H64" s="5" t="n">
        <f aca="false">Двигатели!C$4</f>
        <v>20</v>
      </c>
      <c r="I64" s="1" t="str">
        <f aca="false">Орудия!A$8</f>
        <v>FTL-BT-14</v>
      </c>
      <c r="J64" s="1" t="str">
        <f aca="false">Орудия!B$8</f>
        <v>FTL-болт</v>
      </c>
      <c r="K64" s="1" t="n">
        <f aca="false">Орудия!C$8</f>
        <v>14</v>
      </c>
      <c r="L64" s="1" t="n">
        <f aca="false">Орудия!D$8</f>
        <v>8</v>
      </c>
      <c r="M64" s="5" t="str">
        <f aca="false">Орудия!E$8</f>
        <v>-/40'</v>
      </c>
      <c r="N64" s="5" t="str">
        <f aca="false">Орудия!F$8</f>
        <v>-</v>
      </c>
      <c r="O64" s="5" t="n">
        <f aca="false">B64-G64-K64</f>
        <v>-4</v>
      </c>
      <c r="P64" s="5" t="n">
        <f aca="false">H64-D64-L64</f>
        <v>4</v>
      </c>
    </row>
    <row r="65" customFormat="false" ht="12.8" hidden="false" customHeight="false" outlineLevel="0" collapsed="false">
      <c r="A65" s="5" t="str">
        <f aca="false">Генераторы!A$2</f>
        <v>SG-2KT</v>
      </c>
      <c r="B65" s="5" t="n">
        <f aca="false">Генераторы!B$2</f>
        <v>10</v>
      </c>
      <c r="C65" s="5" t="str">
        <f aca="false">Генераторы!C$2</f>
        <v>3+</v>
      </c>
      <c r="D65" s="5" t="n">
        <f aca="false">Генераторы!D$2</f>
        <v>2</v>
      </c>
      <c r="E65" s="5" t="str">
        <f aca="false">Генераторы!E$2</f>
        <v>-</v>
      </c>
      <c r="F65" s="5" t="str">
        <f aca="false">Двигатели!A$2</f>
        <v>LQB-S</v>
      </c>
      <c r="G65" s="5" t="n">
        <f aca="false">Двигатели!B$2</f>
        <v>3</v>
      </c>
      <c r="H65" s="5" t="n">
        <f aca="false">Двигатели!C$2</f>
        <v>16</v>
      </c>
      <c r="I65" s="1" t="str">
        <f aca="false">Орудия!A$9</f>
        <v>TW-BT-4</v>
      </c>
      <c r="J65" s="1" t="str">
        <f aca="false">Орудия!B$9</f>
        <v>Болт</v>
      </c>
      <c r="K65" s="1" t="n">
        <f aca="false">Орудия!C$9</f>
        <v>8</v>
      </c>
      <c r="L65" s="1" t="n">
        <f aca="false">Орудия!D$9</f>
        <v>5</v>
      </c>
      <c r="M65" s="5" t="str">
        <f aca="false">Орудия!E$9</f>
        <v>12/24'</v>
      </c>
      <c r="N65" s="5" t="str">
        <f aca="false">Орудия!F$9</f>
        <v>-</v>
      </c>
      <c r="O65" s="5" t="n">
        <f aca="false">B65-G65-K65</f>
        <v>-1</v>
      </c>
      <c r="P65" s="5" t="n">
        <f aca="false">H65-D65-L65</f>
        <v>9</v>
      </c>
    </row>
    <row r="66" customFormat="false" ht="12.8" hidden="false" customHeight="false" outlineLevel="0" collapsed="false">
      <c r="A66" s="5" t="str">
        <f aca="false">Генераторы!A$3</f>
        <v>SG-3KT</v>
      </c>
      <c r="B66" s="5" t="n">
        <f aca="false">Генераторы!B$3</f>
        <v>15</v>
      </c>
      <c r="C66" s="5" t="str">
        <f aca="false">Генераторы!C$3</f>
        <v>3+</v>
      </c>
      <c r="D66" s="5" t="n">
        <f aca="false">Генераторы!D$3</f>
        <v>3</v>
      </c>
      <c r="E66" s="5" t="str">
        <f aca="false">Генераторы!E$3</f>
        <v>-</v>
      </c>
      <c r="F66" s="5" t="str">
        <f aca="false">Двигатели!A$2</f>
        <v>LQB-S</v>
      </c>
      <c r="G66" s="5" t="n">
        <f aca="false">Двигатели!B$2</f>
        <v>3</v>
      </c>
      <c r="H66" s="5" t="n">
        <f aca="false">Двигатели!C$2</f>
        <v>16</v>
      </c>
      <c r="I66" s="1" t="str">
        <f aca="false">Орудия!A$9</f>
        <v>TW-BT-4</v>
      </c>
      <c r="J66" s="1" t="str">
        <f aca="false">Орудия!B$9</f>
        <v>Болт</v>
      </c>
      <c r="K66" s="1" t="n">
        <f aca="false">Орудия!C$9</f>
        <v>8</v>
      </c>
      <c r="L66" s="1" t="n">
        <f aca="false">Орудия!D$9</f>
        <v>5</v>
      </c>
      <c r="M66" s="5" t="str">
        <f aca="false">Орудия!E$9</f>
        <v>12/24'</v>
      </c>
      <c r="N66" s="5" t="str">
        <f aca="false">Орудия!F$9</f>
        <v>-</v>
      </c>
      <c r="O66" s="5" t="n">
        <f aca="false">B66-G66-K66</f>
        <v>4</v>
      </c>
      <c r="P66" s="5" t="n">
        <f aca="false">H66-D66-L66</f>
        <v>8</v>
      </c>
    </row>
    <row r="67" customFormat="false" ht="12.8" hidden="false" customHeight="false" outlineLevel="0" collapsed="false">
      <c r="A67" s="5" t="str">
        <f aca="false">Генераторы!A$4</f>
        <v>SG-8KT</v>
      </c>
      <c r="B67" s="5" t="n">
        <f aca="false">Генераторы!B$4</f>
        <v>20</v>
      </c>
      <c r="C67" s="5" t="str">
        <f aca="false">Генераторы!C$4</f>
        <v>4+</v>
      </c>
      <c r="D67" s="5" t="n">
        <f aca="false">Генераторы!D$4</f>
        <v>8</v>
      </c>
      <c r="E67" s="5" t="str">
        <f aca="false">Генераторы!E$4</f>
        <v>-</v>
      </c>
      <c r="F67" s="5" t="str">
        <f aca="false">Двигатели!A$2</f>
        <v>LQB-S</v>
      </c>
      <c r="G67" s="5" t="n">
        <f aca="false">Двигатели!B$2</f>
        <v>3</v>
      </c>
      <c r="H67" s="5" t="n">
        <f aca="false">Двигатели!C$2</f>
        <v>16</v>
      </c>
      <c r="I67" s="1" t="str">
        <f aca="false">Орудия!A$9</f>
        <v>TW-BT-4</v>
      </c>
      <c r="J67" s="1" t="str">
        <f aca="false">Орудия!B$9</f>
        <v>Болт</v>
      </c>
      <c r="K67" s="1" t="n">
        <f aca="false">Орудия!C$9</f>
        <v>8</v>
      </c>
      <c r="L67" s="1" t="n">
        <f aca="false">Орудия!D$9</f>
        <v>5</v>
      </c>
      <c r="M67" s="5" t="str">
        <f aca="false">Орудия!E$9</f>
        <v>12/24'</v>
      </c>
      <c r="N67" s="5" t="str">
        <f aca="false">Орудия!F$9</f>
        <v>-</v>
      </c>
      <c r="O67" s="5" t="n">
        <f aca="false">B67-G67-K67</f>
        <v>9</v>
      </c>
      <c r="P67" s="5" t="n">
        <f aca="false">H67-D67-L67</f>
        <v>3</v>
      </c>
    </row>
    <row r="68" customFormat="false" ht="12.8" hidden="false" customHeight="false" outlineLevel="0" collapsed="false">
      <c r="A68" s="5" t="str">
        <f aca="false">Генераторы!A$2</f>
        <v>SG-2KT</v>
      </c>
      <c r="B68" s="5" t="n">
        <f aca="false">Генераторы!B$2</f>
        <v>10</v>
      </c>
      <c r="C68" s="5" t="str">
        <f aca="false">Генераторы!C$2</f>
        <v>3+</v>
      </c>
      <c r="D68" s="5" t="n">
        <f aca="false">Генераторы!D$2</f>
        <v>2</v>
      </c>
      <c r="E68" s="5" t="str">
        <f aca="false">Генераторы!E$2</f>
        <v>-</v>
      </c>
      <c r="F68" s="5" t="str">
        <f aca="false">Двигатели!A$3</f>
        <v>LQB-M</v>
      </c>
      <c r="G68" s="5" t="n">
        <f aca="false">Двигатели!B$3</f>
        <v>6</v>
      </c>
      <c r="H68" s="5" t="n">
        <f aca="false">Двигатели!C$3</f>
        <v>18</v>
      </c>
      <c r="I68" s="1" t="str">
        <f aca="false">Орудия!A$9</f>
        <v>TW-BT-4</v>
      </c>
      <c r="J68" s="1" t="str">
        <f aca="false">Орудия!B$9</f>
        <v>Болт</v>
      </c>
      <c r="K68" s="1" t="n">
        <f aca="false">Орудия!C$9</f>
        <v>8</v>
      </c>
      <c r="L68" s="1" t="n">
        <f aca="false">Орудия!D$9</f>
        <v>5</v>
      </c>
      <c r="M68" s="5" t="str">
        <f aca="false">Орудия!E$9</f>
        <v>12/24'</v>
      </c>
      <c r="N68" s="5" t="str">
        <f aca="false">Орудия!F$9</f>
        <v>-</v>
      </c>
      <c r="O68" s="5" t="n">
        <f aca="false">B68-G68-K68</f>
        <v>-4</v>
      </c>
      <c r="P68" s="5" t="n">
        <f aca="false">H68-D68-L68</f>
        <v>11</v>
      </c>
    </row>
    <row r="69" customFormat="false" ht="12.8" hidden="false" customHeight="false" outlineLevel="0" collapsed="false">
      <c r="A69" s="5" t="str">
        <f aca="false">Генераторы!A$3</f>
        <v>SG-3KT</v>
      </c>
      <c r="B69" s="5" t="n">
        <f aca="false">Генераторы!B$3</f>
        <v>15</v>
      </c>
      <c r="C69" s="5" t="str">
        <f aca="false">Генераторы!C$3</f>
        <v>3+</v>
      </c>
      <c r="D69" s="5" t="n">
        <f aca="false">Генераторы!D$3</f>
        <v>3</v>
      </c>
      <c r="E69" s="5" t="str">
        <f aca="false">Генераторы!E$3</f>
        <v>-</v>
      </c>
      <c r="F69" s="5" t="str">
        <f aca="false">Двигатели!A$3</f>
        <v>LQB-M</v>
      </c>
      <c r="G69" s="5" t="n">
        <f aca="false">Двигатели!B$3</f>
        <v>6</v>
      </c>
      <c r="H69" s="5" t="n">
        <f aca="false">Двигатели!C$3</f>
        <v>18</v>
      </c>
      <c r="I69" s="1" t="str">
        <f aca="false">Орудия!A$9</f>
        <v>TW-BT-4</v>
      </c>
      <c r="J69" s="1" t="str">
        <f aca="false">Орудия!B$9</f>
        <v>Болт</v>
      </c>
      <c r="K69" s="1" t="n">
        <f aca="false">Орудия!C$9</f>
        <v>8</v>
      </c>
      <c r="L69" s="1" t="n">
        <f aca="false">Орудия!D$9</f>
        <v>5</v>
      </c>
      <c r="M69" s="5" t="str">
        <f aca="false">Орудия!E$9</f>
        <v>12/24'</v>
      </c>
      <c r="N69" s="5" t="str">
        <f aca="false">Орудия!F$9</f>
        <v>-</v>
      </c>
      <c r="O69" s="5" t="n">
        <f aca="false">B69-G69-K69</f>
        <v>1</v>
      </c>
      <c r="P69" s="5" t="n">
        <f aca="false">H69-D69-L69</f>
        <v>10</v>
      </c>
    </row>
    <row r="70" customFormat="false" ht="12.8" hidden="false" customHeight="false" outlineLevel="0" collapsed="false">
      <c r="A70" s="5" t="str">
        <f aca="false">Генераторы!A$4</f>
        <v>SG-8KT</v>
      </c>
      <c r="B70" s="5" t="n">
        <f aca="false">Генераторы!B$4</f>
        <v>20</v>
      </c>
      <c r="C70" s="5" t="str">
        <f aca="false">Генераторы!C$4</f>
        <v>4+</v>
      </c>
      <c r="D70" s="5" t="n">
        <f aca="false">Генераторы!D$4</f>
        <v>8</v>
      </c>
      <c r="E70" s="5" t="str">
        <f aca="false">Генераторы!E$4</f>
        <v>-</v>
      </c>
      <c r="F70" s="5" t="str">
        <f aca="false">Двигатели!A$3</f>
        <v>LQB-M</v>
      </c>
      <c r="G70" s="5" t="n">
        <f aca="false">Двигатели!B$3</f>
        <v>6</v>
      </c>
      <c r="H70" s="5" t="n">
        <f aca="false">Двигатели!C$3</f>
        <v>18</v>
      </c>
      <c r="I70" s="1" t="str">
        <f aca="false">Орудия!A$9</f>
        <v>TW-BT-4</v>
      </c>
      <c r="J70" s="1" t="str">
        <f aca="false">Орудия!B$9</f>
        <v>Болт</v>
      </c>
      <c r="K70" s="1" t="n">
        <f aca="false">Орудия!C$9</f>
        <v>8</v>
      </c>
      <c r="L70" s="1" t="n">
        <f aca="false">Орудия!D$9</f>
        <v>5</v>
      </c>
      <c r="M70" s="5" t="str">
        <f aca="false">Орудия!E$9</f>
        <v>12/24'</v>
      </c>
      <c r="N70" s="5" t="str">
        <f aca="false">Орудия!F$9</f>
        <v>-</v>
      </c>
      <c r="O70" s="5" t="n">
        <f aca="false">B70-G70-K70</f>
        <v>6</v>
      </c>
      <c r="P70" s="5" t="n">
        <f aca="false">H70-D70-L70</f>
        <v>5</v>
      </c>
    </row>
    <row r="71" customFormat="false" ht="12.8" hidden="false" customHeight="false" outlineLevel="0" collapsed="false">
      <c r="A71" s="5" t="str">
        <f aca="false">Генераторы!A$2</f>
        <v>SG-2KT</v>
      </c>
      <c r="B71" s="5" t="n">
        <f aca="false">Генераторы!B$2</f>
        <v>10</v>
      </c>
      <c r="C71" s="5" t="str">
        <f aca="false">Генераторы!C$2</f>
        <v>3+</v>
      </c>
      <c r="D71" s="5" t="n">
        <f aca="false">Генераторы!D$2</f>
        <v>2</v>
      </c>
      <c r="E71" s="5" t="str">
        <f aca="false">Генераторы!E$2</f>
        <v>-</v>
      </c>
      <c r="F71" s="5" t="str">
        <f aca="false">Двигатели!A$4</f>
        <v>LQB-L</v>
      </c>
      <c r="G71" s="5" t="n">
        <f aca="false">Двигатели!B$4</f>
        <v>10</v>
      </c>
      <c r="H71" s="5" t="n">
        <f aca="false">Двигатели!C$4</f>
        <v>20</v>
      </c>
      <c r="I71" s="1" t="str">
        <f aca="false">Орудия!A$9</f>
        <v>TW-BT-4</v>
      </c>
      <c r="J71" s="1" t="str">
        <f aca="false">Орудия!B$9</f>
        <v>Болт</v>
      </c>
      <c r="K71" s="1" t="n">
        <f aca="false">Орудия!C$9</f>
        <v>8</v>
      </c>
      <c r="L71" s="1" t="n">
        <f aca="false">Орудия!D$9</f>
        <v>5</v>
      </c>
      <c r="M71" s="5" t="str">
        <f aca="false">Орудия!E$9</f>
        <v>12/24'</v>
      </c>
      <c r="N71" s="5" t="str">
        <f aca="false">Орудия!F$9</f>
        <v>-</v>
      </c>
      <c r="O71" s="5" t="n">
        <f aca="false">B71-G71-K71</f>
        <v>-8</v>
      </c>
      <c r="P71" s="5" t="n">
        <f aca="false">H71-D71-L71</f>
        <v>13</v>
      </c>
    </row>
    <row r="72" customFormat="false" ht="12.8" hidden="false" customHeight="false" outlineLevel="0" collapsed="false">
      <c r="A72" s="5" t="str">
        <f aca="false">Генераторы!A$3</f>
        <v>SG-3KT</v>
      </c>
      <c r="B72" s="5" t="n">
        <f aca="false">Генераторы!B$3</f>
        <v>15</v>
      </c>
      <c r="C72" s="5" t="str">
        <f aca="false">Генераторы!C$3</f>
        <v>3+</v>
      </c>
      <c r="D72" s="5" t="n">
        <f aca="false">Генераторы!D$3</f>
        <v>3</v>
      </c>
      <c r="E72" s="5" t="str">
        <f aca="false">Генераторы!E$3</f>
        <v>-</v>
      </c>
      <c r="F72" s="5" t="str">
        <f aca="false">Двигатели!A$4</f>
        <v>LQB-L</v>
      </c>
      <c r="G72" s="5" t="n">
        <f aca="false">Двигатели!B$4</f>
        <v>10</v>
      </c>
      <c r="H72" s="5" t="n">
        <f aca="false">Двигатели!C$4</f>
        <v>20</v>
      </c>
      <c r="I72" s="1" t="str">
        <f aca="false">Орудия!A$9</f>
        <v>TW-BT-4</v>
      </c>
      <c r="J72" s="1" t="str">
        <f aca="false">Орудия!B$9</f>
        <v>Болт</v>
      </c>
      <c r="K72" s="1" t="n">
        <f aca="false">Орудия!C$9</f>
        <v>8</v>
      </c>
      <c r="L72" s="1" t="n">
        <f aca="false">Орудия!D$9</f>
        <v>5</v>
      </c>
      <c r="M72" s="5" t="str">
        <f aca="false">Орудия!E$9</f>
        <v>12/24'</v>
      </c>
      <c r="N72" s="5" t="str">
        <f aca="false">Орудия!F$9</f>
        <v>-</v>
      </c>
      <c r="O72" s="5" t="n">
        <f aca="false">B72-G72-K72</f>
        <v>-3</v>
      </c>
      <c r="P72" s="5" t="n">
        <f aca="false">H72-D72-L72</f>
        <v>12</v>
      </c>
    </row>
    <row r="73" customFormat="false" ht="12.8" hidden="false" customHeight="false" outlineLevel="0" collapsed="false">
      <c r="A73" s="5" t="str">
        <f aca="false">Генераторы!A$4</f>
        <v>SG-8KT</v>
      </c>
      <c r="B73" s="5" t="n">
        <f aca="false">Генераторы!B$4</f>
        <v>20</v>
      </c>
      <c r="C73" s="5" t="str">
        <f aca="false">Генераторы!C$4</f>
        <v>4+</v>
      </c>
      <c r="D73" s="5" t="n">
        <f aca="false">Генераторы!D$4</f>
        <v>8</v>
      </c>
      <c r="E73" s="5" t="str">
        <f aca="false">Генераторы!E$4</f>
        <v>-</v>
      </c>
      <c r="F73" s="5" t="str">
        <f aca="false">Двигатели!A$4</f>
        <v>LQB-L</v>
      </c>
      <c r="G73" s="5" t="n">
        <f aca="false">Двигатели!B$4</f>
        <v>10</v>
      </c>
      <c r="H73" s="5" t="n">
        <f aca="false">Двигатели!C$4</f>
        <v>20</v>
      </c>
      <c r="I73" s="1" t="str">
        <f aca="false">Орудия!A$9</f>
        <v>TW-BT-4</v>
      </c>
      <c r="J73" s="1" t="str">
        <f aca="false">Орудия!B$9</f>
        <v>Болт</v>
      </c>
      <c r="K73" s="1" t="n">
        <f aca="false">Орудия!C$9</f>
        <v>8</v>
      </c>
      <c r="L73" s="1" t="n">
        <f aca="false">Орудия!D$9</f>
        <v>5</v>
      </c>
      <c r="M73" s="5" t="str">
        <f aca="false">Орудия!E$9</f>
        <v>12/24'</v>
      </c>
      <c r="N73" s="5" t="str">
        <f aca="false">Орудия!F$9</f>
        <v>-</v>
      </c>
      <c r="O73" s="5" t="n">
        <f aca="false">B73-G73-K73</f>
        <v>2</v>
      </c>
      <c r="P73" s="5" t="n">
        <f aca="false">H73-D73-L73</f>
        <v>7</v>
      </c>
    </row>
  </sheetData>
  <autoFilter ref="A1:P73"/>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Roman"&amp;12&amp;KffffffСтраница &amp;P</oddFooter>
  </headerFooter>
  <drawing r:id="rId1"/>
</worksheet>
</file>

<file path=docProps/app.xml><?xml version="1.0" encoding="utf-8"?>
<Properties xmlns="http://schemas.openxmlformats.org/officeDocument/2006/extended-properties" xmlns:vt="http://schemas.openxmlformats.org/officeDocument/2006/docPropsVTypes">
  <Template/>
  <TotalTime>420</TotalTime>
  <Application>LibreOffice/26.8.0.3$Windows_X86_64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2026-08-30T11:02:56Z</dcterms:created>
  <dc:creator/>
  <dc:description/>
  <dc:language>ru-RU</dc:language>
  <cp:lastModifiedBy/>
  <dcterms:modified xsi:type="dcterms:W3CDTF">2026-09-09T16:03:34Z</dcterms:modified>
  <cp:revision>272</cp:revision>
  <dc:subject/>
  <dc:title/>
</cp:coreProperties>
</file>

<file path=docProps/custom.xml><?xml version="1.0" encoding="utf-8"?>
<Properties xmlns="http://schemas.openxmlformats.org/officeDocument/2006/custom-properties" xmlns:vt="http://schemas.openxmlformats.org/officeDocument/2006/docPropsVTypes"/>
</file>